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_listas" sheetId="2" state="hidden" r:id="rId4"/>
    <sheet name="ventas" sheetId="3" state="visible" r:id="rId5"/>
    <sheet name="cobranza" sheetId="4" state="visible" r:id="rId6"/>
    <sheet name="gastos" sheetId="5" state="visible" r:id="rId7"/>
    <sheet name="parametros" sheetId="6" state="visible" r:id="rId8"/>
  </sheets>
  <calcPr iterateCount="100" refMode="A1" iterate="false" iterateDelta="0.0001" fullCalcOnLoad="true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<sst xmlns="http://schemas.openxmlformats.org/spreadsheetml/2006/main" count="168" uniqueCount="244">
  <si>
    <t xml:space="preserve">PLANTILLA DE CAPTURA — REPORTERIA FINANCIERA Y OPERATIVA</t>
  </si>
  <si>
    <t xml:space="preserve">Objetivo</t>
  </si>
  <si>
    <t xml:space="preserve">Estandarizar la captura de informacion para generar automaticamente reportes de ventas, utilidad, cobranza, flujo de efectivo y rentabilidad por modelo.</t>
  </si>
  <si>
    <t xml:space="preserve">COMO USAR ESTE ARCHIVO</t>
  </si>
  <si>
    <t xml:space="preserve">1</t>
  </si>
  <si>
    <t xml:space="preserve">Capture UNA FILA POR MOVIMIENTO. No agrupe ni resuma: el sistema hace los totales.</t>
  </si>
  <si>
    <t xml:space="preserve">2</t>
  </si>
  <si>
    <t xml:space="preserve">Solo escriba en las celdas de LETRA AZUL. Las de letra negra son formulas y se calculan solas.</t>
  </si>
  <si>
    <t xml:space="preserve">3</t>
  </si>
  <si>
    <t xml:space="preserve">Las celdas con FONDO AMARILLO son datos que faltan y son necesarios. Complete lo que pueda.</t>
  </si>
  <si>
    <t xml:space="preserve">4</t>
  </si>
  <si>
    <t xml:space="preserve">La fila con FONDO VERDE de cada hoja es un EJEMPLO. No la borre, sirve de referencia de formato.</t>
  </si>
  <si>
    <t xml:space="preserve">5</t>
  </si>
  <si>
    <t xml:space="preserve">Use las listas desplegables donde existan. Evita errores de dedo (ej. 'T70P' vs 'T70p').</t>
  </si>
  <si>
    <t xml:space="preserve">6</t>
  </si>
  <si>
    <t xml:space="preserve">NUNCA reutilice un folio. Cada venta lleva folio unico y es la llave que une las hojas.</t>
  </si>
  <si>
    <t xml:space="preserve">7</t>
  </si>
  <si>
    <t xml:space="preserve">No inserte columnas nuevas ni cambie los encabezados.</t>
  </si>
  <si>
    <t xml:space="preserve">LAS 4 HOJAS DE CAPTURA</t>
  </si>
  <si>
    <t xml:space="preserve">1. ventas</t>
  </si>
  <si>
    <t xml:space="preserve">Una fila por equipo o accesorio vendido. Si una venta incluye 2 productos, son 2 filas.</t>
  </si>
  <si>
    <t xml:space="preserve">2. cobranza</t>
  </si>
  <si>
    <t xml:space="preserve">Una fila POR CADA PAGO O ABONO recibido, con su fecha. Si un cliente abono 3 veces, son 3 filas. Esta hoja es la mas importante y es la que hoy no existe.</t>
  </si>
  <si>
    <t xml:space="preserve">3. gastos</t>
  </si>
  <si>
    <t xml:space="preserve">TODOS los gastos del negocio: nomina, renta, luz, gasolina, viaticos, publicidad, intereses, importacion. Uno por fila, con fecha.</t>
  </si>
  <si>
    <t xml:space="preserve">4. parametros</t>
  </si>
  <si>
    <t xml:space="preserve">Configuracion general: moneda, IVA, tasa de provision. Se llena una sola vez.</t>
  </si>
  <si>
    <t xml:space="preserve">REGLAS CRITICAS</t>
  </si>
  <si>
    <t xml:space="preserve">Costo</t>
  </si>
  <si>
    <t xml:space="preserve">El costo debe ser el COSTO REAL DE ADQUISICION: precio del proveedor + flete + aduana + maniobras. No lo calcule como un porcentaje del precio de venta.</t>
  </si>
  <si>
    <t xml:space="preserve">IVA</t>
  </si>
  <si>
    <t xml:space="preserve">Defina en 'parametros' si los importes llevan IVA incluido y capture SIEMPRE igual. Mezclar con y sin IVA invalida todos los reportes.</t>
  </si>
  <si>
    <t xml:space="preserve">Credito</t>
  </si>
  <si>
    <t xml:space="preserve">Registre siempre los DIAS DE CREDITO pactados. Sin ese dato no se puede saber que cuenta esta vencida.</t>
  </si>
  <si>
    <t xml:space="preserve">Comision</t>
  </si>
  <si>
    <t xml:space="preserve">Indique si el porcentaje se calcula sobre la VENTA o sobre la UTILIDAD. Cambia el resultado en cientos de miles.</t>
  </si>
  <si>
    <t xml:space="preserve">CODIGO DE COLOR</t>
  </si>
  <si>
    <t xml:space="preserve">Letra azul</t>
  </si>
  <si>
    <t xml:space="preserve">Dato que usted captura a mano.</t>
  </si>
  <si>
    <t xml:space="preserve">Letra negra</t>
  </si>
  <si>
    <t xml:space="preserve">Formula automatica. No la sobrescriba.</t>
  </si>
  <si>
    <t xml:space="preserve">Fondo amarillo</t>
  </si>
  <si>
    <t xml:space="preserve">Dato faltante o pendiente de confirmar.</t>
  </si>
  <si>
    <t xml:space="preserve">Fondo verde</t>
  </si>
  <si>
    <t xml:space="preserve">Fila de ejemplo.</t>
  </si>
  <si>
    <t xml:space="preserve">Equipo</t>
  </si>
  <si>
    <t xml:space="preserve">T100</t>
  </si>
  <si>
    <t xml:space="preserve">Contado</t>
  </si>
  <si>
    <t xml:space="preserve">Venta</t>
  </si>
  <si>
    <t xml:space="preserve">Nomina</t>
  </si>
  <si>
    <t xml:space="preserve">Fijo</t>
  </si>
  <si>
    <t xml:space="preserve">Efectivo</t>
  </si>
  <si>
    <t xml:space="preserve">Accesorios</t>
  </si>
  <si>
    <t xml:space="preserve">T70P</t>
  </si>
  <si>
    <t xml:space="preserve">Utilidad</t>
  </si>
  <si>
    <t xml:space="preserve">Renta</t>
  </si>
  <si>
    <t xml:space="preserve">Variable</t>
  </si>
  <si>
    <t xml:space="preserve">Transferencia</t>
  </si>
  <si>
    <t xml:space="preserve">Refacciones</t>
  </si>
  <si>
    <t xml:space="preserve">T55</t>
  </si>
  <si>
    <t xml:space="preserve">Consignacion</t>
  </si>
  <si>
    <t xml:space="preserve">No aplica</t>
  </si>
  <si>
    <t xml:space="preserve">Servicios</t>
  </si>
  <si>
    <t xml:space="preserve">Cheque</t>
  </si>
  <si>
    <t xml:space="preserve">Servicio</t>
  </si>
  <si>
    <t xml:space="preserve">T25P</t>
  </si>
  <si>
    <t xml:space="preserve">Operativos</t>
  </si>
  <si>
    <t xml:space="preserve">Deposito</t>
  </si>
  <si>
    <t xml:space="preserve">Capacitacion</t>
  </si>
  <si>
    <t xml:space="preserve">System Disp T100</t>
  </si>
  <si>
    <t xml:space="preserve">Comercial</t>
  </si>
  <si>
    <t xml:space="preserve">Otro</t>
  </si>
  <si>
    <t xml:space="preserve">Demo</t>
  </si>
  <si>
    <t xml:space="preserve">Centrifuga T55</t>
  </si>
  <si>
    <t xml:space="preserve">Viaticos</t>
  </si>
  <si>
    <t xml:space="preserve">Antena RTK</t>
  </si>
  <si>
    <t xml:space="preserve">Logistica</t>
  </si>
  <si>
    <t xml:space="preserve">Bateria W37</t>
  </si>
  <si>
    <t xml:space="preserve">Importacion</t>
  </si>
  <si>
    <t xml:space="preserve">Cargador 65W</t>
  </si>
  <si>
    <t xml:space="preserve">Financieros</t>
  </si>
  <si>
    <t xml:space="preserve">Impuestos</t>
  </si>
  <si>
    <t xml:space="preserve">Otros</t>
  </si>
  <si>
    <t xml:space="preserve">folio</t>
  </si>
  <si>
    <t xml:space="preserve">fecha</t>
  </si>
  <si>
    <t xml:space="preserve">linea</t>
  </si>
  <si>
    <t xml:space="preserve">cliente</t>
  </si>
  <si>
    <t xml:space="preserve">modelo</t>
  </si>
  <si>
    <t xml:space="preserve">serie</t>
  </si>
  <si>
    <t xml:space="preserve">costo_unitario</t>
  </si>
  <si>
    <t xml:space="preserve">precio_venta</t>
  </si>
  <si>
    <t xml:space="preserve">comision_pct</t>
  </si>
  <si>
    <t xml:space="preserve">comision_base</t>
  </si>
  <si>
    <t xml:space="preserve">dias_credito</t>
  </si>
  <si>
    <t xml:space="preserve">condicion</t>
  </si>
  <si>
    <t xml:space="preserve">vendedor</t>
  </si>
  <si>
    <t xml:space="preserve">utilidad_bruta</t>
  </si>
  <si>
    <t xml:space="preserve">margen_pct</t>
  </si>
  <si>
    <t xml:space="preserve">cobrado</t>
  </si>
  <si>
    <t xml:space="preserve">saldo</t>
  </si>
  <si>
    <t xml:space="preserve">notas</t>
  </si>
  <si>
    <t xml:space="preserve">V-000</t>
  </si>
  <si>
    <t xml:space="preserve">15/03/2026</t>
  </si>
  <si>
    <t xml:space="preserve">EJEMPLO — Cliente Demostrativo</t>
  </si>
  <si>
    <t xml:space="preserve">ABC123456789</t>
  </si>
  <si>
    <t xml:space="preserve">Nombre vendedor</t>
  </si>
  <si>
    <t xml:space="preserve">Fila de ejemplo — no borrar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</si>
  <si>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</si>
  <si>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</si>
  <si>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</si>
  <si>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</si>
  <si>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</si>
  <si>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</si>
  <si>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</si>
  <si>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</si>
  <si>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</si>
  <si>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</si>
  <si>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</si>
  <si>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</si>
  <si>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</si>
  <si>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</si>
  <si>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</si>
  <si>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</si>
  <si>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</si>
  <si>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</si>
  <si>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</si>
  <si>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</si>
  <si>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</si>
  <si>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</si>
  <si>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</si>
  <si>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</si>
  <si>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</si>
  <si>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</si>
  <si>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</si>
  <si>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</si>
  <si>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</si>
  <si>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</si>
  <si>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</si>
  <si>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</si>
  <si>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</si>
  <si>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</si>
  <si>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</si>
  <si>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</si>
  <si>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</si>
  <si>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</si>
  <si>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</si>
  <si>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</si>
  <si>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</si>
  <si>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</si>
  <si>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</si>
  <si>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</si>
  <si>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</si>
  <si>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</si>
  <si>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</si>
  <si>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</si>
  <si>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</si>
  <si>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</si>
  <si>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</si>
  <si>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</si>
  <si>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</si>
  <si>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</si>
  <si>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</si>
  <si>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</si>
  <si>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</si>
  <si>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</si>
  <si>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folio_pago</t>
  </si>
  <si>
    <t xml:space="preserve">folio_venta</t>
  </si>
  <si>
    <t xml:space="preserve">fecha_pago</t>
  </si>
  <si>
    <t xml:space="preserve">monto</t>
  </si>
  <si>
    <t xml:space="preserve">metodo</t>
  </si>
  <si>
    <t xml:space="preserve">cliente_ref</t>
  </si>
  <si>
    <t xml:space="preserve">P-000</t>
  </si>
  <si>
    <t xml:space="preserve">20/04/2026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</si>
  <si>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</si>
  <si>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</si>
  <si>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</si>
  <si>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</si>
  <si>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</si>
  <si>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</si>
  <si>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</si>
  <si>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</si>
  <si>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</si>
  <si>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</si>
  <si>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</si>
  <si>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</si>
  <si>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</si>
  <si>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</si>
  <si>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</si>
  <si>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</si>
  <si>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</si>
  <si>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</si>
  <si>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</si>
  <si>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folio_gasto</t>
  </si>
  <si>
    <t xml:space="preserve">categoria</t>
  </si>
  <si>
    <t xml:space="preserve">subcategoria</t>
  </si>
  <si>
    <t xml:space="preserve">descripcion</t>
  </si>
  <si>
    <t xml:space="preserve">tipo</t>
  </si>
  <si>
    <t xml:space="preserve">proveedor</t>
  </si>
  <si>
    <t xml:space="preserve">G-000</t>
  </si>
  <si>
    <t xml:space="preserve">10/03/2026</t>
  </si>
  <si>
    <t xml:space="preserve">Sueldo</t>
  </si>
  <si>
    <t xml:space="preserve">Sueldo mensual empleado operativo</t>
  </si>
  <si>
    <t xml:space="preserve">N/A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</si>
  <si>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</si>
  <si>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</si>
  <si>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</si>
  <si>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</si>
  <si>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</si>
  <si>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</si>
  <si>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</si>
  <si>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</si>
  <si>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</si>
  <si>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</si>
  <si>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</si>
  <si>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</si>
  <si>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</si>
  <si>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</si>
  <si>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</si>
  <si>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parametro</t>
  </si>
  <si>
    <t xml:space="preserve">valor</t>
  </si>
  <si>
    <t xml:space="preserve">nota</t>
  </si>
  <si>
    <t xml:space="preserve">moneda_base</t>
  </si>
  <si>
    <t xml:space="preserve">MXN</t>
  </si>
  <si>
    <t xml:space="preserve">Moneda en que se capturan todos los importes.</t>
  </si>
  <si>
    <t xml:space="preserve">importes_incluyen_iva</t>
  </si>
  <si>
    <t xml:space="preserve">PENDIENTE — Escriba SI o NO. Critico: define si los reportes van con o sin IVA.</t>
  </si>
  <si>
    <t xml:space="preserve">tasa_iva</t>
  </si>
  <si>
    <t xml:space="preserve">Tasa aplicable.</t>
  </si>
  <si>
    <t xml:space="preserve">periodo_inicio</t>
  </si>
  <si>
    <t xml:space="preserve">01/01/2026</t>
  </si>
  <si>
    <t xml:space="preserve">Inicio del periodo a reportar.</t>
  </si>
  <si>
    <t xml:space="preserve">periodo_fin</t>
  </si>
  <si>
    <t xml:space="preserve">31/12/2026</t>
  </si>
  <si>
    <t xml:space="preserve">Fin del periodo a reportar.</t>
  </si>
  <si>
    <t xml:space="preserve">comision_base_default</t>
  </si>
  <si>
    <t xml:space="preserve">PENDIENTE — Escriba VENTA o UTILIDAD.</t>
  </si>
  <si>
    <t xml:space="preserve">dias_credito_default</t>
  </si>
  <si>
    <t xml:space="preserve">PENDIENTE — Dias de credito estandar que otorgan.</t>
  </si>
  <si>
    <t xml:space="preserve">provision_91_180</t>
  </si>
  <si>
    <t xml:space="preserve">% de la cartera de 91-180 dias que se estima incobrable.</t>
  </si>
  <si>
    <t xml:space="preserve">provision_mas_180</t>
  </si>
  <si>
    <t xml:space="preserve">% de la cartera de mas de 180 dias que se estima incobrable.</t>
  </si>
  <si>
    <t xml:space="preserve">tipo_cambio_usd</t>
  </si>
  <si>
    <t xml:space="preserve">Solo si compran en USD.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</si>
</sst>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2"/>
  </cols>
  <sheetData>
    <row r="2" customFormat="false" ht="17.35" hidden="false" customHeight="false" outlineLevel="0" collapsed="false">
      <c r="B2" s="1" t="inlineStr">
        <is>
          <t>PLANTILLA DE CAPTURA v2 — REPORTERIA FINANCIERA Y OPERATIVA</t>
        </is>
      </c>
    </row>
    <row r="3" customFormat="false" ht="15" hidden="false" customHeight="false" outlineLevel="0" collapsed="false">
      <c r="B3" s="2"/>
      <c r="C3" s="3"/>
    </row>
    <row r="4" customFormat="false" ht="27.75" hidden="false" customHeight="tru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/>
      <c r="C5" s="3"/>
    </row>
    <row r="6" customFormat="false" ht="15" hidden="false" customHeight="false" outlineLevel="0" collapsed="false">
      <c r="B6" s="4" t="s">
        <v>3</v>
      </c>
      <c r="C6" s="5"/>
    </row>
    <row r="7" customFormat="false" ht="27.75" hidden="false" customHeight="false" outlineLevel="0" collapsed="false">
      <c r="B7" s="2" t="s">
        <v>4</v>
      </c>
      <c r="C7" s="3" t="inlineStr">
        <is>
          <t>Capture UNA FILA POR MOVIMIENTO: una por producto vendido, una por pago recibido, una por gasto. No agrupe ni resuma: el sistema hace los totales.</t>
        </is>
      </c>
    </row>
    <row r="8" customFormat="false" ht="41.25" hidden="false" customHeight="true" outlineLevel="0" collapsed="false">
      <c r="B8" s="2" t="s">
        <v>6</v>
      </c>
      <c r="C8" s="3" t="inlineStr">
        <is>
          <t>Solo escriba en las celdas de LETRA AZUL. Las columnas de letra negra de la hoja ventas (utilidad, margen, cobrado y saldo) se calculan solas con formulas: no escriba en ellas. La aplicacion las vuelve a calcular por su cuenta al cargar el archivo.</t>
        </is>
      </c>
    </row>
    <row r="9" customFormat="false" ht="15" hidden="false" customHeight="false" outlineLevel="0" collapsed="false">
      <c r="B9" s="2" t="s">
        <v>8</v>
      </c>
      <c r="C9" s="3" t="s">
        <v>9</v>
      </c>
    </row>
    <row r="10" customFormat="false" ht="27.75" hidden="false" customHeight="true" outlineLevel="0" collapsed="false">
      <c r="B10" s="2" t="s">
        <v>10</v>
      </c>
      <c r="C10" s="3" t="s">
        <v>11</v>
      </c>
    </row>
    <row r="11" customFormat="false" ht="41.25" hidden="false" customHeight="true" outlineLevel="0" collapsed="false">
      <c r="B11" s="2" t="s">
        <v>12</v>
      </c>
      <c r="C11" s="3" t="inlineStr">
        <is>
          <t>Use las listas desplegables donde existan: evitan errores de dedo (ej. 'Accesorios' vs 'Accesorio' en linea). El modelo es texto libre: el sistema ignora mayusculas y espacios sobrantes al agrupar, pero no une nombres escritos distinto; escribalo siempre igual.</t>
        </is>
      </c>
    </row>
    <row r="12" customFormat="false" ht="41.25" hidden="false" customHeight="false" outlineLevel="0" collapsed="false">
      <c r="B12" s="2" t="s">
        <v>14</v>
      </c>
      <c r="C12" s="3" t="inlineStr">
        <is>
          <t>El folio identifica UNA VENTA. Una venta con varios productos repite su folio en cada fila (vea 'Ventas con varios productos', abajo). Nunca use el mismo folio para dos ventas distintas: es la llave que une las hojas.</t>
        </is>
      </c>
    </row>
    <row r="13" customFormat="false" ht="15" hidden="false" customHeight="false" outlineLevel="0" collapsed="false">
      <c r="B13" s="2" t="s">
        <v>16</v>
      </c>
      <c r="C13" s="3" t="s">
        <v>17</v>
      </c>
    </row>
    <row r="14" customFormat="false" ht="15" hidden="false" customHeight="false" outlineLevel="0" collapsed="false">
      <c r="B14" s="2"/>
      <c r="C14" s="3"/>
    </row>
    <row r="15" customFormat="false" ht="15" hidden="false" customHeight="false" outlineLevel="0" collapsed="false">
      <c r="B15" s="4" t="s">
        <v>18</v>
      </c>
      <c r="C15" s="5"/>
    </row>
    <row r="16" customFormat="false" ht="27.75" hidden="false" customHeight="false" outlineLevel="0" collapsed="false">
      <c r="B16" s="2" t="s">
        <v>19</v>
      </c>
      <c r="C16" s="3" t="inlineStr">
        <is>
          <t>Una fila por producto vendido (equipo, accesorio, servicio). Si una venta incluye 2 productos, son 2 filas con el mismo folio.</t>
        </is>
      </c>
    </row>
    <row r="17" customFormat="false" ht="27.75" hidden="false" customHeight="true" outlineLevel="0" collapsed="false">
      <c r="B17" s="2" t="s">
        <v>21</v>
      </c>
      <c r="C17" s="3" t="inlineStr">
        <is>
          <t>Una fila POR CADA PAGO O ABONO recibido, con su fecha y el folio de la venta que paga. Si un cliente abono 3 veces, son 3 filas. Sin esta hoja no se puede saber cuanto se debe ni desde cuando.</t>
        </is>
      </c>
    </row>
    <row r="18" customFormat="false" ht="27.75" hidden="false" customHeight="true" outlineLevel="0" collapsed="false">
      <c r="B18" s="2" t="s">
        <v>23</v>
      </c>
      <c r="C18" s="3" t="s">
        <v>24</v>
      </c>
    </row>
    <row r="19" customFormat="false" ht="41.25" hidden="false" customHeight="true" outlineLevel="0" collapsed="false">
      <c r="B19" s="2" t="s">
        <v>25</v>
      </c>
      <c r="C19" s="3" t="inlineStr">
        <is>
          <t>Configuracion general: moneda, IVA, tasa de provision. Se llena una sola vez. Porcentajes: 30%, 30 y 0.30 valen lo mismo; un numero mayor que 1 se lee como por ciento, y 1 solo es 100% (para uno por ciento escriba 1%). Fechas en dd/mm/aaaa.</t>
        </is>
      </c>
    </row>
    <row r="20" customFormat="false" ht="15" hidden="false" customHeight="false" outlineLevel="0" collapsed="false">
      <c r="B20" s="2"/>
      <c r="C20" s="3"/>
    </row>
    <row r="21" customFormat="false" ht="15" hidden="false" customHeight="false" outlineLevel="0" collapsed="false">
      <c r="B21" s="4" t="s">
        <v>27</v>
      </c>
      <c r="C21" s="5"/>
    </row>
    <row r="22" customFormat="false" ht="27.75" hidden="false" customHeight="true" outlineLevel="0" collapsed="false">
      <c r="B22" s="2" t="s">
        <v>28</v>
      </c>
      <c r="C22" s="3" t="s">
        <v>29</v>
      </c>
    </row>
    <row r="23" customFormat="false" ht="27.75" hidden="false" customHeight="true" outlineLevel="0" collapsed="false">
      <c r="B23" s="2" t="s">
        <v>30</v>
      </c>
      <c r="C23" s="3" t="s">
        <v>31</v>
      </c>
    </row>
    <row r="24" customFormat="false" ht="27.75" hidden="false" customHeight="true" outlineLevel="0" collapsed="false">
      <c r="B24" s="2" t="s">
        <v>32</v>
      </c>
      <c r="C24" s="3" t="inlineStr">
        <is>
          <t>Registre siempre los DIAS DE CREDITO pactados. Sin ese dato no se puede saber que cuenta esta vencida. Cuentan desde la fecha de entrega de cada producto.</t>
        </is>
      </c>
    </row>
    <row r="25" customFormat="false" ht="27.75" hidden="false" customHeight="true" outlineLevel="0" collapsed="false">
      <c r="B25" s="2" t="s">
        <v>34</v>
      </c>
      <c r="C25" s="3" t="s">
        <v>35</v>
      </c>
    </row>
    <row r="26" customFormat="false" ht="15" hidden="false" customHeight="false" outlineLevel="0" collapsed="false">
      <c r="B26" s="2"/>
      <c r="C26" s="3"/>
    </row>
    <row r="27" customFormat="false" ht="15" hidden="false" customHeight="false" outlineLevel="0" collapsed="false">
      <c r="B27" s="4" t="s">
        <v>36</v>
      </c>
      <c r="C27" s="5"/>
    </row>
    <row r="28" customFormat="false" ht="15" hidden="false" customHeight="false" outlineLevel="0" collapsed="false">
      <c r="B28" s="2" t="s">
        <v>37</v>
      </c>
      <c r="C28" s="3" t="s">
        <v>38</v>
      </c>
    </row>
    <row r="29" customFormat="false" ht="15" hidden="false" customHeight="false" outlineLevel="0" collapsed="false">
      <c r="B29" s="2" t="s">
        <v>39</v>
      </c>
      <c r="C29" s="3" t="inlineStr">
        <is>
          <t>Columna calculada con formula. No escriba en ella.</t>
        </is>
      </c>
    </row>
    <row r="30" customFormat="false" ht="15" hidden="false" customHeight="false" outlineLevel="0" collapsed="false">
      <c r="B30" s="2" t="s">
        <v>41</v>
      </c>
      <c r="C30" s="3" t="s">
        <v>42</v>
      </c>
    </row>
    <row r="31" customFormat="false" ht="15" hidden="false" customHeight="false" outlineLevel="0" collapsed="false">
      <c r="B31" s="2" t="s">
        <v>43</v>
      </c>
      <c r="C31" s="3" t="s">
        <v>44</v>
      </c>
    </row>
    <row r="33" customFormat="false" ht="15" hidden="false" customHeight="false" outlineLevel="0" collapsed="false">
      <c r="B33" s="4" t="inlineStr">
        <is>
          <t>VENTAS CON VARIOS PRODUCTOS</t>
        </is>
      </c>
      <c r="C33" s="5"/>
    </row>
    <row r="34" customFormat="false" ht="41.25" hidden="false" customHeight="false" outlineLevel="0" collapsed="false">
      <c r="B34" s="2" t="inlineStr">
        <is>
          <t>Mismo folio</t>
        </is>
      </c>
      <c r="C34" s="3" t="inlineStr">
        <is>
          <t>Una venta que incluye varios productos se captura en varias filas CON EL MISMO FOLIO, una por producto. Ejemplo: V-101, Equipo, Modelo A, $100,000 y en la fila de abajo V-101, Accesorios, Modelo B, $10,000. Es UNA venta de $110,000 con dos partidas.</t>
        </is>
      </c>
    </row>
    <row r="35" customFormat="false" ht="41.25" hidden="false" customHeight="false" outlineLevel="0" collapsed="false">
      <c r="B35" s="2" t="inlineStr">
        <is>
          <t>Datos de la venta</t>
        </is>
      </c>
      <c r="C35" s="3" t="inlineStr">
        <is>
          <t>Cliente, dias de credito, condicion y vendedor son de la venta completa. Al repetir el folio en la fila de abajo se copian solos de la fila de arriba; puede escribir encima si hace falta. Si quedan vacios, la aplicacion toma los de la primera fila de ese folio que los traiga.</t>
        </is>
      </c>
    </row>
    <row r="36" customFormat="false" ht="27.75" hidden="false" customHeight="false" outlineLevel="0" collapsed="false">
      <c r="B36" s="2" t="inlineStr">
        <is>
          <t>Fecha</t>
        </is>
      </c>
      <c r="C36" s="3" t="inlineStr">
        <is>
          <t>La fecha es la de ENTREGA de cada producto. Si el equipo se entrego un dia y el accesorio otro, cada fila lleva su fecha. Los dias de credito cuentan desde cada entrega.</t>
        </is>
      </c>
    </row>
    <row r="37" customFormat="false" ht="41.25" hidden="false" customHeight="false" outlineLevel="0" collapsed="false">
      <c r="B37" s="2" t="inlineStr">
        <is>
          <t>Cobrado y saldo</t>
        </is>
      </c>
      <c r="C37" s="3" t="inlineStr">
        <is>
          <t>Son de la venta completa y aparecen solo en la PRIMERA fila de cada folio. En las demas filas del mismo folio vera una flecha ↑, que quiere decir 'vea la primera fila de este folio'. Asi la columna se puede sumar sin contar la misma venta dos veces.</t>
        </is>
      </c>
    </row>
    <row r="38" customFormat="false" ht="27.75" hidden="false" customHeight="false" outlineLevel="0" collapsed="false">
      <c r="B38" s="2" t="inlineStr">
        <is>
          <t>Pagos</t>
        </is>
      </c>
      <c r="C38" s="3" t="inlineStr">
        <is>
          <t>En la hoja cobranza cada pago se anota contra el FOLIO de la venta, no contra un producto. Se aplican primero a lo que se entrego primero: lo que queda pendiente es lo ultimo entregado.</t>
        </is>
      </c>
    </row>
    <row r="39" customFormat="false" ht="41.25" hidden="false" customHeight="false" outlineLevel="0" collapsed="false">
      <c r="B39" s="2" t="inlineStr">
        <is>
          <t>Linea Demo</t>
        </is>
      </c>
      <c r="C39" s="3" t="inlineStr">
        <is>
          <t>Una unidad de linea Demo no es una venta. La hoja si suma en 'cobrado' los pagos anotados contra su folio, pero el reporte no los cuenta como cobranza: por eso el total de esa columna puede ser mayor que el 'Efectivo cobrado' del reporte.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45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</row>
    <row r="2" customFormat="false" ht="15" hidden="false" customHeight="false" outlineLevel="0" collapsed="false">
      <c r="A2" s="0" t="s">
        <v>52</v>
      </c>
      <c r="B2" s="0" t="s">
        <v>32</v>
      </c>
      <c r="C2" s="0" t="s">
        <v>54</v>
      </c>
      <c r="D2" s="0" t="s">
        <v>55</v>
      </c>
      <c r="E2" s="0" t="s">
        <v>56</v>
      </c>
      <c r="F2" s="0" t="s">
        <v>57</v>
      </c>
    </row>
    <row r="3" customFormat="false" ht="15" hidden="false" customHeight="false" outlineLevel="0" collapsed="false">
      <c r="A3" s="0" t="s">
        <v>58</v>
      </c>
      <c r="B3" s="0" t="s">
        <v>60</v>
      </c>
      <c r="C3" s="0" t="s">
        <v>61</v>
      </c>
      <c r="D3" s="0" t="s">
        <v>62</v>
      </c>
      <c r="F3" s="0" t="s">
        <v>63</v>
      </c>
    </row>
    <row r="4" customFormat="false" ht="15" hidden="false" customHeight="false" outlineLevel="0" collapsed="false">
      <c r="A4" s="0" t="s">
        <v>64</v>
      </c>
      <c r="D4" s="0" t="s">
        <v>66</v>
      </c>
      <c r="F4" s="0" t="s">
        <v>67</v>
      </c>
    </row>
    <row r="5" customFormat="false" ht="15" hidden="false" customHeight="false" outlineLevel="0" collapsed="false">
      <c r="A5" s="0" t="s">
        <v>68</v>
      </c>
      <c r="D5" s="0" t="s">
        <v>70</v>
      </c>
      <c r="F5" s="0" t="s">
        <v>71</v>
      </c>
    </row>
    <row r="6" customFormat="false" ht="15" hidden="false" customHeight="false" outlineLevel="0" collapsed="false">
      <c r="A6" s="0" t="s">
        <v>72</v>
      </c>
      <c r="D6" s="0" t="s">
        <v>74</v>
      </c>
    </row>
    <row r="7" customFormat="false" ht="15" hidden="false" customHeight="false" outlineLevel="0" collapsed="false">
      <c r="D7" s="0" t="s">
        <v>76</v>
      </c>
    </row>
    <row r="8" customFormat="false" ht="15" hidden="false" customHeight="false" outlineLevel="0" collapsed="false">
      <c r="D8" s="0" t="s">
        <v>78</v>
      </c>
    </row>
    <row r="9" customFormat="false" ht="15" hidden="false" customHeight="false" outlineLevel="0" collapsed="false">
      <c r="D9" s="0" t="s">
        <v>80</v>
      </c>
    </row>
    <row r="10" customFormat="false" ht="15" hidden="false" customHeight="false" outlineLevel="0" collapsed="false">
      <c r="D10" s="0" t="s">
        <v>81</v>
      </c>
    </row>
    <row r="11" customFormat="false" ht="15" hidden="false" customHeight="false" outlineLevel="0" collapsed="false">
      <c r="D11" s="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8" min="7" style="0" width="15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7" min="16" style="0" width="15"/>
    <col collapsed="false" customWidth="true" hidden="false" outlineLevel="0" max="18" min="18" style="0" width="40"/>
  </cols>
  <sheetData>
    <row r="1" customFormat="false" ht="30" hidden="false" customHeight="true" outlineLevel="0" collapsed="false">
      <c r="A1" s="6" t="s">
        <v>83</v>
      </c>
      <c r="B1" s="6" t="s">
        <v>84</v>
      </c>
      <c r="C1" s="6" t="s">
        <v>85</v>
      </c>
      <c r="D1" s="6" t="s">
        <v>86</v>
      </c>
      <c r="E1" s="6" t="s">
        <v>87</v>
      </c>
      <c r="F1" s="6" t="s">
        <v>88</v>
      </c>
      <c r="G1" s="6" t="s">
        <v>89</v>
      </c>
      <c r="H1" s="6" t="s">
        <v>90</v>
      </c>
      <c r="I1" s="6" t="s">
        <v>91</v>
      </c>
      <c r="J1" s="6" t="s">
        <v>92</v>
      </c>
      <c r="K1" s="6" t="s">
        <v>93</v>
      </c>
      <c r="L1" s="6" t="s">
        <v>94</v>
      </c>
      <c r="M1" s="6" t="s">
        <v>95</v>
      </c>
      <c r="N1" s="6" t="s">
        <v>96</v>
      </c>
      <c r="O1" s="6" t="s">
        <v>97</v>
      </c>
      <c r="P1" s="6" t="s">
        <v>98</v>
      </c>
      <c r="Q1" s="6" t="s">
        <v>99</v>
      </c>
      <c r="R1" s="6" t="s">
        <v>100</v>
      </c>
    </row>
    <row r="2" customFormat="false" ht="15" hidden="false" customHeight="false" outlineLevel="0" collapsed="false">
      <c r="A2" s="7" t="s">
        <v>101</v>
      </c>
      <c r="B2" s="7" t="s">
        <v>102</v>
      </c>
      <c r="C2" s="7" t="s">
        <v>45</v>
      </c>
      <c r="D2" s="7" t="s">
        <v>103</v>
      </c>
      <c r="E2" s="7" t="inlineStr">
        <is>
          <t>Modelo A</t>
        </is>
      </c>
      <c r="F2" s="7" t="s">
        <v>104</v>
      </c>
      <c r="G2" s="8" t="n">
        <v>200000</v>
      </c>
      <c r="H2" s="8" t="n">
        <v>260000</v>
      </c>
      <c r="I2" s="9" t="n">
        <v>0.05</v>
      </c>
      <c r="J2" s="7" t="s">
        <v>48</v>
      </c>
      <c r="K2" s="7" t="n">
        <v>90</v>
      </c>
      <c r="L2" s="7" t="s">
        <v>32</v>
      </c>
      <c r="M2" s="7" t="s">
        <v>105</v>
      </c>
      <c r="N2" s="10" t="n">
        <f aca="false">IFERROR(H2-G2,"")</f>
        <v>60000</v>
      </c>
      <c r="O2" s="11" t="n">
        <f aca="false">IFERROR(N2/H2,"")</f>
        <v>0.230769230769231</v>
      </c>
      <c r="P2" s="10" t="n">
        <f aca="false">IFERROR(SUMIF(cobranza!$B$3:$B$1000,A2,cobranza!$D$3:$D$1000),0)</f>
        <v>0</v>
      </c>
      <c r="Q2" s="10" t="n">
        <f aca="false">IFERROR(H2-P2,"")</f>
        <v>260000</v>
      </c>
      <c r="R2" s="12" t="s">
        <v>106</v>
      </c>
    </row>
    <row r="3" customFormat="false" ht="15" hidden="false" customHeight="false" outlineLevel="0" collapsed="false">
      <c r="A3" s="13"/>
      <c r="B3" s="14"/>
      <c r="C3" s="13"/>
      <c r="D3" s="13">
        <f>IF(AND($A3&lt;&gt;"",$A3=$A2),D2,"")</f>
      </c>
      <c r="E3" s="13"/>
      <c r="F3" s="13"/>
      <c r="G3" s="15"/>
      <c r="H3" s="15"/>
      <c r="I3" s="16"/>
      <c r="J3" s="13"/>
      <c r="K3" s="13">
        <f>IF(AND($A3&lt;&gt;"",$A3=$A2),K2,"")</f>
      </c>
      <c r="L3" s="13">
        <f>IF(AND($A3&lt;&gt;"",$A3=$A2),L2,"")</f>
      </c>
      <c r="M3" s="13">
        <f>IF(AND($A3&lt;&gt;"",$A3=$A2),M2,"")</f>
      </c>
      <c r="N3" s="10">
        <f>IF(H3="","",H3-G3)</f>
      </c>
      <c r="O3" s="11">
        <f>IFERROR(N3/H3,"")</f>
      </c>
      <c r="P3" s="10">
        <f>IF($A3="","",IF(COUNTIF($A$3:$A3,$A3)=1,SUMIF(cobranza!$B$3:$B$1000,$A3,cobranza!$D$3:$D$1000),"↑"))</f>
      </c>
      <c r="Q3" s="10">
        <f>IF($A3="","",IF(COUNTIF($A$3:$A3,$A3)=1,SUMIFS($H$3:$H$1000,$A$3:$A$1000,$A3,$C$3:$C$1000,"&lt;&gt;Demo")-P3,"↑"))</f>
      </c>
      <c r="R3" s="13"/>
    </row>
    <row r="4" customFormat="false" ht="15" hidden="false" customHeight="false" outlineLevel="0" collapsed="false">
      <c r="A4" s="13"/>
      <c r="B4" s="14"/>
      <c r="C4" s="13"/>
      <c r="D4" s="13">
        <f>IF(AND($A4&lt;&gt;"",$A4=$A3),D3,"")</f>
      </c>
      <c r="E4" s="13"/>
      <c r="F4" s="13"/>
      <c r="G4" s="15"/>
      <c r="H4" s="15"/>
      <c r="I4" s="16"/>
      <c r="J4" s="13"/>
      <c r="K4" s="13">
        <f>IF(AND($A4&lt;&gt;"",$A4=$A3),K3,"")</f>
      </c>
      <c r="L4" s="13">
        <f>IF(AND($A4&lt;&gt;"",$A4=$A3),L3,"")</f>
      </c>
      <c r="M4" s="13">
        <f>IF(AND($A4&lt;&gt;"",$A4=$A3),M3,"")</f>
      </c>
      <c r="N4" s="10">
        <f>IF(H4="","",H4-G4)</f>
      </c>
      <c r="O4" s="11">
        <f>IFERROR(N4/H4,"")</f>
      </c>
      <c r="P4" s="10">
        <f>IF($A4="","",IF(COUNTIF($A$3:$A4,$A4)=1,SUMIF(cobranza!$B$3:$B$1000,$A4,cobranza!$D$3:$D$1000),"↑"))</f>
      </c>
      <c r="Q4" s="10">
        <f>IF($A4="","",IF(COUNTIF($A$3:$A4,$A4)=1,SUMIFS($H$3:$H$1000,$A$3:$A$1000,$A4,$C$3:$C$1000,"&lt;&gt;Demo")-P4,"↑"))</f>
      </c>
      <c r="R4" s="13"/>
    </row>
    <row r="5" customFormat="false" ht="15" hidden="false" customHeight="false" outlineLevel="0" collapsed="false">
      <c r="A5" s="13"/>
      <c r="B5" s="14"/>
      <c r="C5" s="13"/>
      <c r="D5" s="13">
        <f>IF(AND($A5&lt;&gt;"",$A5=$A4),D4,"")</f>
      </c>
      <c r="E5" s="13"/>
      <c r="F5" s="13"/>
      <c r="G5" s="15"/>
      <c r="H5" s="15"/>
      <c r="I5" s="16"/>
      <c r="J5" s="13"/>
      <c r="K5" s="13">
        <f>IF(AND($A5&lt;&gt;"",$A5=$A4),K4,"")</f>
      </c>
      <c r="L5" s="13">
        <f>IF(AND($A5&lt;&gt;"",$A5=$A4),L4,"")</f>
      </c>
      <c r="M5" s="13">
        <f>IF(AND($A5&lt;&gt;"",$A5=$A4),M4,"")</f>
      </c>
      <c r="N5" s="10">
        <f>IF(H5="","",H5-G5)</f>
      </c>
      <c r="O5" s="11">
        <f>IFERROR(N5/H5,"")</f>
      </c>
      <c r="P5" s="10">
        <f>IF($A5="","",IF(COUNTIF($A$3:$A5,$A5)=1,SUMIF(cobranza!$B$3:$B$1000,$A5,cobranza!$D$3:$D$1000),"↑"))</f>
      </c>
      <c r="Q5" s="10">
        <f>IF($A5="","",IF(COUNTIF($A$3:$A5,$A5)=1,SUMIFS($H$3:$H$1000,$A$3:$A$1000,$A5,$C$3:$C$1000,"&lt;&gt;Demo")-P5,"↑"))</f>
      </c>
      <c r="R5" s="13"/>
    </row>
    <row r="6" customFormat="false" ht="15" hidden="false" customHeight="false" outlineLevel="0" collapsed="false">
      <c r="A6" s="13"/>
      <c r="B6" s="14"/>
      <c r="C6" s="13"/>
      <c r="D6" s="13">
        <f>IF(AND($A6&lt;&gt;"",$A6=$A5),D5,"")</f>
      </c>
      <c r="E6" s="13"/>
      <c r="F6" s="13"/>
      <c r="G6" s="15"/>
      <c r="H6" s="15"/>
      <c r="I6" s="16"/>
      <c r="J6" s="13"/>
      <c r="K6" s="13">
        <f>IF(AND($A6&lt;&gt;"",$A6=$A5),K5,"")</f>
      </c>
      <c r="L6" s="13">
        <f>IF(AND($A6&lt;&gt;"",$A6=$A5),L5,"")</f>
      </c>
      <c r="M6" s="13">
        <f>IF(AND($A6&lt;&gt;"",$A6=$A5),M5,"")</f>
      </c>
      <c r="N6" s="10">
        <f>IF(H6="","",H6-G6)</f>
      </c>
      <c r="O6" s="11">
        <f>IFERROR(N6/H6,"")</f>
      </c>
      <c r="P6" s="10">
        <f>IF($A6="","",IF(COUNTIF($A$3:$A6,$A6)=1,SUMIF(cobranza!$B$3:$B$1000,$A6,cobranza!$D$3:$D$1000),"↑"))</f>
      </c>
      <c r="Q6" s="10">
        <f>IF($A6="","",IF(COUNTIF($A$3:$A6,$A6)=1,SUMIFS($H$3:$H$1000,$A$3:$A$1000,$A6,$C$3:$C$1000,"&lt;&gt;Demo")-P6,"↑"))</f>
      </c>
      <c r="R6" s="13"/>
    </row>
    <row r="7" customFormat="false" ht="15" hidden="false" customHeight="false" outlineLevel="0" collapsed="false">
      <c r="A7" s="13"/>
      <c r="B7" s="14"/>
      <c r="C7" s="13"/>
      <c r="D7" s="13">
        <f>IF(AND($A7&lt;&gt;"",$A7=$A6),D6,"")</f>
      </c>
      <c r="E7" s="13"/>
      <c r="F7" s="13"/>
      <c r="G7" s="15"/>
      <c r="H7" s="15"/>
      <c r="I7" s="16"/>
      <c r="J7" s="13"/>
      <c r="K7" s="13">
        <f>IF(AND($A7&lt;&gt;"",$A7=$A6),K6,"")</f>
      </c>
      <c r="L7" s="13">
        <f>IF(AND($A7&lt;&gt;"",$A7=$A6),L6,"")</f>
      </c>
      <c r="M7" s="13">
        <f>IF(AND($A7&lt;&gt;"",$A7=$A6),M6,"")</f>
      </c>
      <c r="N7" s="10">
        <f>IF(H7="","",H7-G7)</f>
      </c>
      <c r="O7" s="11">
        <f>IFERROR(N7/H7,"")</f>
      </c>
      <c r="P7" s="10">
        <f>IF($A7="","",IF(COUNTIF($A$3:$A7,$A7)=1,SUMIF(cobranza!$B$3:$B$1000,$A7,cobranza!$D$3:$D$1000),"↑"))</f>
      </c>
      <c r="Q7" s="10">
        <f>IF($A7="","",IF(COUNTIF($A$3:$A7,$A7)=1,SUMIFS($H$3:$H$1000,$A$3:$A$1000,$A7,$C$3:$C$1000,"&lt;&gt;Demo")-P7,"↑"))</f>
      </c>
      <c r="R7" s="13"/>
    </row>
    <row r="8" customFormat="false" ht="15" hidden="false" customHeight="false" outlineLevel="0" collapsed="false">
      <c r="A8" s="13"/>
      <c r="B8" s="14"/>
      <c r="C8" s="13"/>
      <c r="D8" s="13">
        <f>IF(AND($A8&lt;&gt;"",$A8=$A7),D7,"")</f>
      </c>
      <c r="E8" s="13"/>
      <c r="F8" s="13"/>
      <c r="G8" s="15"/>
      <c r="H8" s="15"/>
      <c r="I8" s="16"/>
      <c r="J8" s="13"/>
      <c r="K8" s="13">
        <f>IF(AND($A8&lt;&gt;"",$A8=$A7),K7,"")</f>
      </c>
      <c r="L8" s="13">
        <f>IF(AND($A8&lt;&gt;"",$A8=$A7),L7,"")</f>
      </c>
      <c r="M8" s="13">
        <f>IF(AND($A8&lt;&gt;"",$A8=$A7),M7,"")</f>
      </c>
      <c r="N8" s="10">
        <f>IF(H8="","",H8-G8)</f>
      </c>
      <c r="O8" s="11">
        <f>IFERROR(N8/H8,"")</f>
      </c>
      <c r="P8" s="10">
        <f>IF($A8="","",IF(COUNTIF($A$3:$A8,$A8)=1,SUMIF(cobranza!$B$3:$B$1000,$A8,cobranza!$D$3:$D$1000),"↑"))</f>
      </c>
      <c r="Q8" s="10">
        <f>IF($A8="","",IF(COUNTIF($A$3:$A8,$A8)=1,SUMIFS($H$3:$H$1000,$A$3:$A$1000,$A8,$C$3:$C$1000,"&lt;&gt;Demo")-P8,"↑"))</f>
      </c>
      <c r="R8" s="13"/>
    </row>
    <row r="9" customFormat="false" ht="15" hidden="false" customHeight="false" outlineLevel="0" collapsed="false">
      <c r="A9" s="13"/>
      <c r="B9" s="14"/>
      <c r="C9" s="13"/>
      <c r="D9" s="13">
        <f>IF(AND($A9&lt;&gt;"",$A9=$A8),D8,"")</f>
      </c>
      <c r="E9" s="13"/>
      <c r="F9" s="13"/>
      <c r="G9" s="15"/>
      <c r="H9" s="15"/>
      <c r="I9" s="16"/>
      <c r="J9" s="13"/>
      <c r="K9" s="13">
        <f>IF(AND($A9&lt;&gt;"",$A9=$A8),K8,"")</f>
      </c>
      <c r="L9" s="13">
        <f>IF(AND($A9&lt;&gt;"",$A9=$A8),L8,"")</f>
      </c>
      <c r="M9" s="13">
        <f>IF(AND($A9&lt;&gt;"",$A9=$A8),M8,"")</f>
      </c>
      <c r="N9" s="10">
        <f>IF(H9="","",H9-G9)</f>
      </c>
      <c r="O9" s="11">
        <f>IFERROR(N9/H9,"")</f>
      </c>
      <c r="P9" s="10">
        <f>IF($A9="","",IF(COUNTIF($A$3:$A9,$A9)=1,SUMIF(cobranza!$B$3:$B$1000,$A9,cobranza!$D$3:$D$1000),"↑"))</f>
      </c>
      <c r="Q9" s="10">
        <f>IF($A9="","",IF(COUNTIF($A$3:$A9,$A9)=1,SUMIFS($H$3:$H$1000,$A$3:$A$1000,$A9,$C$3:$C$1000,"&lt;&gt;Demo")-P9,"↑"))</f>
      </c>
      <c r="R9" s="13"/>
    </row>
    <row r="10" customFormat="false" ht="15" hidden="false" customHeight="false" outlineLevel="0" collapsed="false">
      <c r="A10" s="13"/>
      <c r="B10" s="14"/>
      <c r="C10" s="13"/>
      <c r="D10" s="13">
        <f>IF(AND($A10&lt;&gt;"",$A10=$A9),D9,"")</f>
      </c>
      <c r="E10" s="13"/>
      <c r="F10" s="13"/>
      <c r="G10" s="15"/>
      <c r="H10" s="15"/>
      <c r="I10" s="16"/>
      <c r="J10" s="13"/>
      <c r="K10" s="13">
        <f>IF(AND($A10&lt;&gt;"",$A10=$A9),K9,"")</f>
      </c>
      <c r="L10" s="13">
        <f>IF(AND($A10&lt;&gt;"",$A10=$A9),L9,"")</f>
      </c>
      <c r="M10" s="13">
        <f>IF(AND($A10&lt;&gt;"",$A10=$A9),M9,"")</f>
      </c>
      <c r="N10" s="10">
        <f>IF(H10="","",H10-G10)</f>
      </c>
      <c r="O10" s="11">
        <f>IFERROR(N10/H10,"")</f>
      </c>
      <c r="P10" s="10">
        <f>IF($A10="","",IF(COUNTIF($A$3:$A10,$A10)=1,SUMIF(cobranza!$B$3:$B$1000,$A10,cobranza!$D$3:$D$1000),"↑"))</f>
      </c>
      <c r="Q10" s="10">
        <f>IF($A10="","",IF(COUNTIF($A$3:$A10,$A10)=1,SUMIFS($H$3:$H$1000,$A$3:$A$1000,$A10,$C$3:$C$1000,"&lt;&gt;Demo")-P10,"↑"))</f>
      </c>
      <c r="R10" s="13"/>
    </row>
    <row r="11" customFormat="false" ht="15" hidden="false" customHeight="false" outlineLevel="0" collapsed="false">
      <c r="A11" s="13"/>
      <c r="B11" s="14"/>
      <c r="C11" s="13"/>
      <c r="D11" s="13">
        <f>IF(AND($A11&lt;&gt;"",$A11=$A10),D10,"")</f>
      </c>
      <c r="E11" s="13"/>
      <c r="F11" s="13"/>
      <c r="G11" s="15"/>
      <c r="H11" s="15"/>
      <c r="I11" s="16"/>
      <c r="J11" s="13"/>
      <c r="K11" s="13">
        <f>IF(AND($A11&lt;&gt;"",$A11=$A10),K10,"")</f>
      </c>
      <c r="L11" s="13">
        <f>IF(AND($A11&lt;&gt;"",$A11=$A10),L10,"")</f>
      </c>
      <c r="M11" s="13">
        <f>IF(AND($A11&lt;&gt;"",$A11=$A10),M10,"")</f>
      </c>
      <c r="N11" s="10">
        <f>IF(H11="","",H11-G11)</f>
      </c>
      <c r="O11" s="11">
        <f>IFERROR(N11/H11,"")</f>
      </c>
      <c r="P11" s="10">
        <f>IF($A11="","",IF(COUNTIF($A$3:$A11,$A11)=1,SUMIF(cobranza!$B$3:$B$1000,$A11,cobranza!$D$3:$D$1000),"↑"))</f>
      </c>
      <c r="Q11" s="10">
        <f>IF($A11="","",IF(COUNTIF($A$3:$A11,$A11)=1,SUMIFS($H$3:$H$1000,$A$3:$A$1000,$A11,$C$3:$C$1000,"&lt;&gt;Demo")-P11,"↑"))</f>
      </c>
      <c r="R11" s="13"/>
    </row>
    <row r="12" customFormat="false" ht="15" hidden="false" customHeight="false" outlineLevel="0" collapsed="false">
      <c r="A12" s="13"/>
      <c r="B12" s="14"/>
      <c r="C12" s="13"/>
      <c r="D12" s="13">
        <f>IF(AND($A12&lt;&gt;"",$A12=$A11),D11,"")</f>
      </c>
      <c r="E12" s="13"/>
      <c r="F12" s="13"/>
      <c r="G12" s="15"/>
      <c r="H12" s="15"/>
      <c r="I12" s="16"/>
      <c r="J12" s="13"/>
      <c r="K12" s="13">
        <f>IF(AND($A12&lt;&gt;"",$A12=$A11),K11,"")</f>
      </c>
      <c r="L12" s="13">
        <f>IF(AND($A12&lt;&gt;"",$A12=$A11),L11,"")</f>
      </c>
      <c r="M12" s="13">
        <f>IF(AND($A12&lt;&gt;"",$A12=$A11),M11,"")</f>
      </c>
      <c r="N12" s="10">
        <f>IF(H12="","",H12-G12)</f>
      </c>
      <c r="O12" s="11">
        <f>IFERROR(N12/H12,"")</f>
      </c>
      <c r="P12" s="10">
        <f>IF($A12="","",IF(COUNTIF($A$3:$A12,$A12)=1,SUMIF(cobranza!$B$3:$B$1000,$A12,cobranza!$D$3:$D$1000),"↑"))</f>
      </c>
      <c r="Q12" s="10">
        <f>IF($A12="","",IF(COUNTIF($A$3:$A12,$A12)=1,SUMIFS($H$3:$H$1000,$A$3:$A$1000,$A12,$C$3:$C$1000,"&lt;&gt;Demo")-P12,"↑"))</f>
      </c>
      <c r="R12" s="13"/>
    </row>
    <row r="13" customFormat="false" ht="15" hidden="false" customHeight="false" outlineLevel="0" collapsed="false">
      <c r="A13" s="13"/>
      <c r="B13" s="14"/>
      <c r="C13" s="13"/>
      <c r="D13" s="13">
        <f>IF(AND($A13&lt;&gt;"",$A13=$A12),D12,"")</f>
      </c>
      <c r="E13" s="13"/>
      <c r="F13" s="13"/>
      <c r="G13" s="15"/>
      <c r="H13" s="15"/>
      <c r="I13" s="16"/>
      <c r="J13" s="13"/>
      <c r="K13" s="13">
        <f>IF(AND($A13&lt;&gt;"",$A13=$A12),K12,"")</f>
      </c>
      <c r="L13" s="13">
        <f>IF(AND($A13&lt;&gt;"",$A13=$A12),L12,"")</f>
      </c>
      <c r="M13" s="13">
        <f>IF(AND($A13&lt;&gt;"",$A13=$A12),M12,"")</f>
      </c>
      <c r="N13" s="10">
        <f>IF(H13="","",H13-G13)</f>
      </c>
      <c r="O13" s="11">
        <f>IFERROR(N13/H13,"")</f>
      </c>
      <c r="P13" s="10">
        <f>IF($A13="","",IF(COUNTIF($A$3:$A13,$A13)=1,SUMIF(cobranza!$B$3:$B$1000,$A13,cobranza!$D$3:$D$1000),"↑"))</f>
      </c>
      <c r="Q13" s="10">
        <f>IF($A13="","",IF(COUNTIF($A$3:$A13,$A13)=1,SUMIFS($H$3:$H$1000,$A$3:$A$1000,$A13,$C$3:$C$1000,"&lt;&gt;Demo")-P13,"↑"))</f>
      </c>
      <c r="R13" s="13"/>
    </row>
    <row r="14" customFormat="false" ht="15" hidden="false" customHeight="false" outlineLevel="0" collapsed="false">
      <c r="A14" s="13"/>
      <c r="B14" s="14"/>
      <c r="C14" s="13"/>
      <c r="D14" s="13">
        <f>IF(AND($A14&lt;&gt;"",$A14=$A13),D13,"")</f>
      </c>
      <c r="E14" s="13"/>
      <c r="F14" s="13"/>
      <c r="G14" s="15"/>
      <c r="H14" s="15"/>
      <c r="I14" s="16"/>
      <c r="J14" s="13"/>
      <c r="K14" s="13">
        <f>IF(AND($A14&lt;&gt;"",$A14=$A13),K13,"")</f>
      </c>
      <c r="L14" s="13">
        <f>IF(AND($A14&lt;&gt;"",$A14=$A13),L13,"")</f>
      </c>
      <c r="M14" s="13">
        <f>IF(AND($A14&lt;&gt;"",$A14=$A13),M13,"")</f>
      </c>
      <c r="N14" s="10">
        <f>IF(H14="","",H14-G14)</f>
      </c>
      <c r="O14" s="11">
        <f>IFERROR(N14/H14,"")</f>
      </c>
      <c r="P14" s="10">
        <f>IF($A14="","",IF(COUNTIF($A$3:$A14,$A14)=1,SUMIF(cobranza!$B$3:$B$1000,$A14,cobranza!$D$3:$D$1000),"↑"))</f>
      </c>
      <c r="Q14" s="10">
        <f>IF($A14="","",IF(COUNTIF($A$3:$A14,$A14)=1,SUMIFS($H$3:$H$1000,$A$3:$A$1000,$A14,$C$3:$C$1000,"&lt;&gt;Demo")-P14,"↑"))</f>
      </c>
      <c r="R14" s="13"/>
    </row>
    <row r="15" customFormat="false" ht="15" hidden="false" customHeight="false" outlineLevel="0" collapsed="false">
      <c r="A15" s="13"/>
      <c r="B15" s="14"/>
      <c r="C15" s="13"/>
      <c r="D15" s="13">
        <f>IF(AND($A15&lt;&gt;"",$A15=$A14),D14,"")</f>
      </c>
      <c r="E15" s="13"/>
      <c r="F15" s="13"/>
      <c r="G15" s="15"/>
      <c r="H15" s="15"/>
      <c r="I15" s="16"/>
      <c r="J15" s="13"/>
      <c r="K15" s="13">
        <f>IF(AND($A15&lt;&gt;"",$A15=$A14),K14,"")</f>
      </c>
      <c r="L15" s="13">
        <f>IF(AND($A15&lt;&gt;"",$A15=$A14),L14,"")</f>
      </c>
      <c r="M15" s="13">
        <f>IF(AND($A15&lt;&gt;"",$A15=$A14),M14,"")</f>
      </c>
      <c r="N15" s="10">
        <f>IF(H15="","",H15-G15)</f>
      </c>
      <c r="O15" s="11">
        <f>IFERROR(N15/H15,"")</f>
      </c>
      <c r="P15" s="10">
        <f>IF($A15="","",IF(COUNTIF($A$3:$A15,$A15)=1,SUMIF(cobranza!$B$3:$B$1000,$A15,cobranza!$D$3:$D$1000),"↑"))</f>
      </c>
      <c r="Q15" s="10">
        <f>IF($A15="","",IF(COUNTIF($A$3:$A15,$A15)=1,SUMIFS($H$3:$H$1000,$A$3:$A$1000,$A15,$C$3:$C$1000,"&lt;&gt;Demo")-P15,"↑"))</f>
      </c>
      <c r="R15" s="13"/>
    </row>
    <row r="16" customFormat="false" ht="15" hidden="false" customHeight="false" outlineLevel="0" collapsed="false">
      <c r="A16" s="13"/>
      <c r="B16" s="14"/>
      <c r="C16" s="13"/>
      <c r="D16" s="13">
        <f>IF(AND($A16&lt;&gt;"",$A16=$A15),D15,"")</f>
      </c>
      <c r="E16" s="13"/>
      <c r="F16" s="13"/>
      <c r="G16" s="15"/>
      <c r="H16" s="15"/>
      <c r="I16" s="16"/>
      <c r="J16" s="13"/>
      <c r="K16" s="13">
        <f>IF(AND($A16&lt;&gt;"",$A16=$A15),K15,"")</f>
      </c>
      <c r="L16" s="13">
        <f>IF(AND($A16&lt;&gt;"",$A16=$A15),L15,"")</f>
      </c>
      <c r="M16" s="13">
        <f>IF(AND($A16&lt;&gt;"",$A16=$A15),M15,"")</f>
      </c>
      <c r="N16" s="10">
        <f>IF(H16="","",H16-G16)</f>
      </c>
      <c r="O16" s="11">
        <f>IFERROR(N16/H16,"")</f>
      </c>
      <c r="P16" s="10">
        <f>IF($A16="","",IF(COUNTIF($A$3:$A16,$A16)=1,SUMIF(cobranza!$B$3:$B$1000,$A16,cobranza!$D$3:$D$1000),"↑"))</f>
      </c>
      <c r="Q16" s="10">
        <f>IF($A16="","",IF(COUNTIF($A$3:$A16,$A16)=1,SUMIFS($H$3:$H$1000,$A$3:$A$1000,$A16,$C$3:$C$1000,"&lt;&gt;Demo")-P16,"↑"))</f>
      </c>
      <c r="R16" s="13"/>
    </row>
    <row r="17" customFormat="false" ht="15" hidden="false" customHeight="false" outlineLevel="0" collapsed="false">
      <c r="A17" s="13"/>
      <c r="B17" s="14"/>
      <c r="C17" s="13"/>
      <c r="D17" s="13">
        <f>IF(AND($A17&lt;&gt;"",$A17=$A16),D16,"")</f>
      </c>
      <c r="E17" s="13"/>
      <c r="F17" s="13"/>
      <c r="G17" s="15"/>
      <c r="H17" s="15"/>
      <c r="I17" s="16"/>
      <c r="J17" s="13"/>
      <c r="K17" s="13">
        <f>IF(AND($A17&lt;&gt;"",$A17=$A16),K16,"")</f>
      </c>
      <c r="L17" s="13">
        <f>IF(AND($A17&lt;&gt;"",$A17=$A16),L16,"")</f>
      </c>
      <c r="M17" s="13">
        <f>IF(AND($A17&lt;&gt;"",$A17=$A16),M16,"")</f>
      </c>
      <c r="N17" s="10">
        <f>IF(H17="","",H17-G17)</f>
      </c>
      <c r="O17" s="11">
        <f>IFERROR(N17/H17,"")</f>
      </c>
      <c r="P17" s="10">
        <f>IF($A17="","",IF(COUNTIF($A$3:$A17,$A17)=1,SUMIF(cobranza!$B$3:$B$1000,$A17,cobranza!$D$3:$D$1000),"↑"))</f>
      </c>
      <c r="Q17" s="10">
        <f>IF($A17="","",IF(COUNTIF($A$3:$A17,$A17)=1,SUMIFS($H$3:$H$1000,$A$3:$A$1000,$A17,$C$3:$C$1000,"&lt;&gt;Demo")-P17,"↑"))</f>
      </c>
      <c r="R17" s="13"/>
    </row>
    <row r="18" customFormat="false" ht="15" hidden="false" customHeight="false" outlineLevel="0" collapsed="false">
      <c r="A18" s="13"/>
      <c r="B18" s="14"/>
      <c r="C18" s="13"/>
      <c r="D18" s="13">
        <f>IF(AND($A18&lt;&gt;"",$A18=$A17),D17,"")</f>
      </c>
      <c r="E18" s="13"/>
      <c r="F18" s="13"/>
      <c r="G18" s="15"/>
      <c r="H18" s="15"/>
      <c r="I18" s="16"/>
      <c r="J18" s="13"/>
      <c r="K18" s="13">
        <f>IF(AND($A18&lt;&gt;"",$A18=$A17),K17,"")</f>
      </c>
      <c r="L18" s="13">
        <f>IF(AND($A18&lt;&gt;"",$A18=$A17),L17,"")</f>
      </c>
      <c r="M18" s="13">
        <f>IF(AND($A18&lt;&gt;"",$A18=$A17),M17,"")</f>
      </c>
      <c r="N18" s="10">
        <f>IF(H18="","",H18-G18)</f>
      </c>
      <c r="O18" s="11">
        <f>IFERROR(N18/H18,"")</f>
      </c>
      <c r="P18" s="10">
        <f>IF($A18="","",IF(COUNTIF($A$3:$A18,$A18)=1,SUMIF(cobranza!$B$3:$B$1000,$A18,cobranza!$D$3:$D$1000),"↑"))</f>
      </c>
      <c r="Q18" s="10">
        <f>IF($A18="","",IF(COUNTIF($A$3:$A18,$A18)=1,SUMIFS($H$3:$H$1000,$A$3:$A$1000,$A18,$C$3:$C$1000,"&lt;&gt;Demo")-P18,"↑"))</f>
      </c>
      <c r="R18" s="13"/>
    </row>
    <row r="19" customFormat="false" ht="15" hidden="false" customHeight="false" outlineLevel="0" collapsed="false">
      <c r="A19" s="13"/>
      <c r="B19" s="14"/>
      <c r="C19" s="13"/>
      <c r="D19" s="13">
        <f>IF(AND($A19&lt;&gt;"",$A19=$A18),D18,"")</f>
      </c>
      <c r="E19" s="13"/>
      <c r="F19" s="13"/>
      <c r="G19" s="15"/>
      <c r="H19" s="15"/>
      <c r="I19" s="16"/>
      <c r="J19" s="13"/>
      <c r="K19" s="13">
        <f>IF(AND($A19&lt;&gt;"",$A19=$A18),K18,"")</f>
      </c>
      <c r="L19" s="13">
        <f>IF(AND($A19&lt;&gt;"",$A19=$A18),L18,"")</f>
      </c>
      <c r="M19" s="13">
        <f>IF(AND($A19&lt;&gt;"",$A19=$A18),M18,"")</f>
      </c>
      <c r="N19" s="10">
        <f>IF(H19="","",H19-G19)</f>
      </c>
      <c r="O19" s="11">
        <f>IFERROR(N19/H19,"")</f>
      </c>
      <c r="P19" s="10">
        <f>IF($A19="","",IF(COUNTIF($A$3:$A19,$A19)=1,SUMIF(cobranza!$B$3:$B$1000,$A19,cobranza!$D$3:$D$1000),"↑"))</f>
      </c>
      <c r="Q19" s="10">
        <f>IF($A19="","",IF(COUNTIF($A$3:$A19,$A19)=1,SUMIFS($H$3:$H$1000,$A$3:$A$1000,$A19,$C$3:$C$1000,"&lt;&gt;Demo")-P19,"↑"))</f>
      </c>
      <c r="R19" s="13"/>
    </row>
    <row r="20" customFormat="false" ht="15" hidden="false" customHeight="false" outlineLevel="0" collapsed="false">
      <c r="A20" s="13"/>
      <c r="B20" s="14"/>
      <c r="C20" s="13"/>
      <c r="D20" s="13">
        <f>IF(AND($A20&lt;&gt;"",$A20=$A19),D19,"")</f>
      </c>
      <c r="E20" s="13"/>
      <c r="F20" s="13"/>
      <c r="G20" s="15"/>
      <c r="H20" s="15"/>
      <c r="I20" s="16"/>
      <c r="J20" s="13"/>
      <c r="K20" s="13">
        <f>IF(AND($A20&lt;&gt;"",$A20=$A19),K19,"")</f>
      </c>
      <c r="L20" s="13">
        <f>IF(AND($A20&lt;&gt;"",$A20=$A19),L19,"")</f>
      </c>
      <c r="M20" s="13">
        <f>IF(AND($A20&lt;&gt;"",$A20=$A19),M19,"")</f>
      </c>
      <c r="N20" s="10">
        <f>IF(H20="","",H20-G20)</f>
      </c>
      <c r="O20" s="11">
        <f>IFERROR(N20/H20,"")</f>
      </c>
      <c r="P20" s="10">
        <f>IF($A20="","",IF(COUNTIF($A$3:$A20,$A20)=1,SUMIF(cobranza!$B$3:$B$1000,$A20,cobranza!$D$3:$D$1000),"↑"))</f>
      </c>
      <c r="Q20" s="10">
        <f>IF($A20="","",IF(COUNTIF($A$3:$A20,$A20)=1,SUMIFS($H$3:$H$1000,$A$3:$A$1000,$A20,$C$3:$C$1000,"&lt;&gt;Demo")-P20,"↑"))</f>
      </c>
      <c r="R20" s="13"/>
    </row>
    <row r="21" customFormat="false" ht="15" hidden="false" customHeight="false" outlineLevel="0" collapsed="false">
      <c r="A21" s="13"/>
      <c r="B21" s="14"/>
      <c r="C21" s="13"/>
      <c r="D21" s="13">
        <f>IF(AND($A21&lt;&gt;"",$A21=$A20),D20,"")</f>
      </c>
      <c r="E21" s="13"/>
      <c r="F21" s="13"/>
      <c r="G21" s="15"/>
      <c r="H21" s="15"/>
      <c r="I21" s="16"/>
      <c r="J21" s="13"/>
      <c r="K21" s="13">
        <f>IF(AND($A21&lt;&gt;"",$A21=$A20),K20,"")</f>
      </c>
      <c r="L21" s="13">
        <f>IF(AND($A21&lt;&gt;"",$A21=$A20),L20,"")</f>
      </c>
      <c r="M21" s="13">
        <f>IF(AND($A21&lt;&gt;"",$A21=$A20),M20,"")</f>
      </c>
      <c r="N21" s="10">
        <f>IF(H21="","",H21-G21)</f>
      </c>
      <c r="O21" s="11">
        <f>IFERROR(N21/H21,"")</f>
      </c>
      <c r="P21" s="10">
        <f>IF($A21="","",IF(COUNTIF($A$3:$A21,$A21)=1,SUMIF(cobranza!$B$3:$B$1000,$A21,cobranza!$D$3:$D$1000),"↑"))</f>
      </c>
      <c r="Q21" s="10">
        <f>IF($A21="","",IF(COUNTIF($A$3:$A21,$A21)=1,SUMIFS($H$3:$H$1000,$A$3:$A$1000,$A21,$C$3:$C$1000,"&lt;&gt;Demo")-P21,"↑"))</f>
      </c>
      <c r="R21" s="13"/>
    </row>
    <row r="22" customFormat="false" ht="15" hidden="false" customHeight="false" outlineLevel="0" collapsed="false">
      <c r="A22" s="13"/>
      <c r="B22" s="14"/>
      <c r="C22" s="13"/>
      <c r="D22" s="13">
        <f>IF(AND($A22&lt;&gt;"",$A22=$A21),D21,"")</f>
      </c>
      <c r="E22" s="13"/>
      <c r="F22" s="13"/>
      <c r="G22" s="15"/>
      <c r="H22" s="15"/>
      <c r="I22" s="16"/>
      <c r="J22" s="13"/>
      <c r="K22" s="13">
        <f>IF(AND($A22&lt;&gt;"",$A22=$A21),K21,"")</f>
      </c>
      <c r="L22" s="13">
        <f>IF(AND($A22&lt;&gt;"",$A22=$A21),L21,"")</f>
      </c>
      <c r="M22" s="13">
        <f>IF(AND($A22&lt;&gt;"",$A22=$A21),M21,"")</f>
      </c>
      <c r="N22" s="10">
        <f>IF(H22="","",H22-G22)</f>
      </c>
      <c r="O22" s="11">
        <f>IFERROR(N22/H22,"")</f>
      </c>
      <c r="P22" s="10">
        <f>IF($A22="","",IF(COUNTIF($A$3:$A22,$A22)=1,SUMIF(cobranza!$B$3:$B$1000,$A22,cobranza!$D$3:$D$1000),"↑"))</f>
      </c>
      <c r="Q22" s="10">
        <f>IF($A22="","",IF(COUNTIF($A$3:$A22,$A22)=1,SUMIFS($H$3:$H$1000,$A$3:$A$1000,$A22,$C$3:$C$1000,"&lt;&gt;Demo")-P22,"↑"))</f>
      </c>
      <c r="R22" s="13"/>
    </row>
    <row r="23" customFormat="false" ht="15" hidden="false" customHeight="false" outlineLevel="0" collapsed="false">
      <c r="A23" s="13"/>
      <c r="B23" s="14"/>
      <c r="C23" s="13"/>
      <c r="D23" s="13">
        <f>IF(AND($A23&lt;&gt;"",$A23=$A22),D22,"")</f>
      </c>
      <c r="E23" s="13"/>
      <c r="F23" s="13"/>
      <c r="G23" s="15"/>
      <c r="H23" s="15"/>
      <c r="I23" s="16"/>
      <c r="J23" s="13"/>
      <c r="K23" s="13">
        <f>IF(AND($A23&lt;&gt;"",$A23=$A22),K22,"")</f>
      </c>
      <c r="L23" s="13">
        <f>IF(AND($A23&lt;&gt;"",$A23=$A22),L22,"")</f>
      </c>
      <c r="M23" s="13">
        <f>IF(AND($A23&lt;&gt;"",$A23=$A22),M22,"")</f>
      </c>
      <c r="N23" s="10">
        <f>IF(H23="","",H23-G23)</f>
      </c>
      <c r="O23" s="11">
        <f>IFERROR(N23/H23,"")</f>
      </c>
      <c r="P23" s="10">
        <f>IF($A23="","",IF(COUNTIF($A$3:$A23,$A23)=1,SUMIF(cobranza!$B$3:$B$1000,$A23,cobranza!$D$3:$D$1000),"↑"))</f>
      </c>
      <c r="Q23" s="10">
        <f>IF($A23="","",IF(COUNTIF($A$3:$A23,$A23)=1,SUMIFS($H$3:$H$1000,$A$3:$A$1000,$A23,$C$3:$C$1000,"&lt;&gt;Demo")-P23,"↑"))</f>
      </c>
      <c r="R23" s="13"/>
    </row>
    <row r="24" customFormat="false" ht="15" hidden="false" customHeight="false" outlineLevel="0" collapsed="false">
      <c r="A24" s="13"/>
      <c r="B24" s="14"/>
      <c r="C24" s="13"/>
      <c r="D24" s="13">
        <f>IF(AND($A24&lt;&gt;"",$A24=$A23),D23,"")</f>
      </c>
      <c r="E24" s="13"/>
      <c r="F24" s="13"/>
      <c r="G24" s="15"/>
      <c r="H24" s="15"/>
      <c r="I24" s="16"/>
      <c r="J24" s="13"/>
      <c r="K24" s="13">
        <f>IF(AND($A24&lt;&gt;"",$A24=$A23),K23,"")</f>
      </c>
      <c r="L24" s="13">
        <f>IF(AND($A24&lt;&gt;"",$A24=$A23),L23,"")</f>
      </c>
      <c r="M24" s="13">
        <f>IF(AND($A24&lt;&gt;"",$A24=$A23),M23,"")</f>
      </c>
      <c r="N24" s="10">
        <f>IF(H24="","",H24-G24)</f>
      </c>
      <c r="O24" s="11">
        <f>IFERROR(N24/H24,"")</f>
      </c>
      <c r="P24" s="10">
        <f>IF($A24="","",IF(COUNTIF($A$3:$A24,$A24)=1,SUMIF(cobranza!$B$3:$B$1000,$A24,cobranza!$D$3:$D$1000),"↑"))</f>
      </c>
      <c r="Q24" s="10">
        <f>IF($A24="","",IF(COUNTIF($A$3:$A24,$A24)=1,SUMIFS($H$3:$H$1000,$A$3:$A$1000,$A24,$C$3:$C$1000,"&lt;&gt;Demo")-P24,"↑"))</f>
      </c>
      <c r="R24" s="13"/>
    </row>
    <row r="25" customFormat="false" ht="15" hidden="false" customHeight="false" outlineLevel="0" collapsed="false">
      <c r="A25" s="13"/>
      <c r="B25" s="14"/>
      <c r="C25" s="13"/>
      <c r="D25" s="13">
        <f>IF(AND($A25&lt;&gt;"",$A25=$A24),D24,"")</f>
      </c>
      <c r="E25" s="13"/>
      <c r="F25" s="13"/>
      <c r="G25" s="15"/>
      <c r="H25" s="15"/>
      <c r="I25" s="16"/>
      <c r="J25" s="13"/>
      <c r="K25" s="13">
        <f>IF(AND($A25&lt;&gt;"",$A25=$A24),K24,"")</f>
      </c>
      <c r="L25" s="13">
        <f>IF(AND($A25&lt;&gt;"",$A25=$A24),L24,"")</f>
      </c>
      <c r="M25" s="13">
        <f>IF(AND($A25&lt;&gt;"",$A25=$A24),M24,"")</f>
      </c>
      <c r="N25" s="10">
        <f>IF(H25="","",H25-G25)</f>
      </c>
      <c r="O25" s="11">
        <f>IFERROR(N25/H25,"")</f>
      </c>
      <c r="P25" s="10">
        <f>IF($A25="","",IF(COUNTIF($A$3:$A25,$A25)=1,SUMIF(cobranza!$B$3:$B$1000,$A25,cobranza!$D$3:$D$1000),"↑"))</f>
      </c>
      <c r="Q25" s="10">
        <f>IF($A25="","",IF(COUNTIF($A$3:$A25,$A25)=1,SUMIFS($H$3:$H$1000,$A$3:$A$1000,$A25,$C$3:$C$1000,"&lt;&gt;Demo")-P25,"↑"))</f>
      </c>
      <c r="R25" s="13"/>
    </row>
    <row r="26" customFormat="false" ht="15" hidden="false" customHeight="false" outlineLevel="0" collapsed="false">
      <c r="A26" s="13"/>
      <c r="B26" s="14"/>
      <c r="C26" s="13"/>
      <c r="D26" s="13">
        <f>IF(AND($A26&lt;&gt;"",$A26=$A25),D25,"")</f>
      </c>
      <c r="E26" s="13"/>
      <c r="F26" s="13"/>
      <c r="G26" s="15"/>
      <c r="H26" s="15"/>
      <c r="I26" s="16"/>
      <c r="J26" s="13"/>
      <c r="K26" s="13">
        <f>IF(AND($A26&lt;&gt;"",$A26=$A25),K25,"")</f>
      </c>
      <c r="L26" s="13">
        <f>IF(AND($A26&lt;&gt;"",$A26=$A25),L25,"")</f>
      </c>
      <c r="M26" s="13">
        <f>IF(AND($A26&lt;&gt;"",$A26=$A25),M25,"")</f>
      </c>
      <c r="N26" s="10">
        <f>IF(H26="","",H26-G26)</f>
      </c>
      <c r="O26" s="11">
        <f>IFERROR(N26/H26,"")</f>
      </c>
      <c r="P26" s="10">
        <f>IF($A26="","",IF(COUNTIF($A$3:$A26,$A26)=1,SUMIF(cobranza!$B$3:$B$1000,$A26,cobranza!$D$3:$D$1000),"↑"))</f>
      </c>
      <c r="Q26" s="10">
        <f>IF($A26="","",IF(COUNTIF($A$3:$A26,$A26)=1,SUMIFS($H$3:$H$1000,$A$3:$A$1000,$A26,$C$3:$C$1000,"&lt;&gt;Demo")-P26,"↑"))</f>
      </c>
      <c r="R26" s="13"/>
    </row>
    <row r="27" customFormat="false" ht="15" hidden="false" customHeight="false" outlineLevel="0" collapsed="false">
      <c r="A27" s="13"/>
      <c r="B27" s="14"/>
      <c r="C27" s="13"/>
      <c r="D27" s="13">
        <f>IF(AND($A27&lt;&gt;"",$A27=$A26),D26,"")</f>
      </c>
      <c r="E27" s="13"/>
      <c r="F27" s="13"/>
      <c r="G27" s="15"/>
      <c r="H27" s="15"/>
      <c r="I27" s="16"/>
      <c r="J27" s="13"/>
      <c r="K27" s="13">
        <f>IF(AND($A27&lt;&gt;"",$A27=$A26),K26,"")</f>
      </c>
      <c r="L27" s="13">
        <f>IF(AND($A27&lt;&gt;"",$A27=$A26),L26,"")</f>
      </c>
      <c r="M27" s="13">
        <f>IF(AND($A27&lt;&gt;"",$A27=$A26),M26,"")</f>
      </c>
      <c r="N27" s="10">
        <f>IF(H27="","",H27-G27)</f>
      </c>
      <c r="O27" s="11">
        <f>IFERROR(N27/H27,"")</f>
      </c>
      <c r="P27" s="10">
        <f>IF($A27="","",IF(COUNTIF($A$3:$A27,$A27)=1,SUMIF(cobranza!$B$3:$B$1000,$A27,cobranza!$D$3:$D$1000),"↑"))</f>
      </c>
      <c r="Q27" s="10">
        <f>IF($A27="","",IF(COUNTIF($A$3:$A27,$A27)=1,SUMIFS($H$3:$H$1000,$A$3:$A$1000,$A27,$C$3:$C$1000,"&lt;&gt;Demo")-P27,"↑"))</f>
      </c>
      <c r="R27" s="13"/>
    </row>
    <row r="28" customFormat="false" ht="15" hidden="false" customHeight="false" outlineLevel="0" collapsed="false">
      <c r="A28" s="13"/>
      <c r="B28" s="14"/>
      <c r="C28" s="13"/>
      <c r="D28" s="13">
        <f>IF(AND($A28&lt;&gt;"",$A28=$A27),D27,"")</f>
      </c>
      <c r="E28" s="13"/>
      <c r="F28" s="13"/>
      <c r="G28" s="15"/>
      <c r="H28" s="15"/>
      <c r="I28" s="16"/>
      <c r="J28" s="13"/>
      <c r="K28" s="13">
        <f>IF(AND($A28&lt;&gt;"",$A28=$A27),K27,"")</f>
      </c>
      <c r="L28" s="13">
        <f>IF(AND($A28&lt;&gt;"",$A28=$A27),L27,"")</f>
      </c>
      <c r="M28" s="13">
        <f>IF(AND($A28&lt;&gt;"",$A28=$A27),M27,"")</f>
      </c>
      <c r="N28" s="10">
        <f>IF(H28="","",H28-G28)</f>
      </c>
      <c r="O28" s="11">
        <f>IFERROR(N28/H28,"")</f>
      </c>
      <c r="P28" s="10">
        <f>IF($A28="","",IF(COUNTIF($A$3:$A28,$A28)=1,SUMIF(cobranza!$B$3:$B$1000,$A28,cobranza!$D$3:$D$1000),"↑"))</f>
      </c>
      <c r="Q28" s="10">
        <f>IF($A28="","",IF(COUNTIF($A$3:$A28,$A28)=1,SUMIFS($H$3:$H$1000,$A$3:$A$1000,$A28,$C$3:$C$1000,"&lt;&gt;Demo")-P28,"↑"))</f>
      </c>
      <c r="R28" s="13"/>
    </row>
    <row r="29" customFormat="false" ht="15" hidden="false" customHeight="false" outlineLevel="0" collapsed="false">
      <c r="A29" s="13"/>
      <c r="B29" s="14"/>
      <c r="C29" s="13"/>
      <c r="D29" s="13">
        <f>IF(AND($A29&lt;&gt;"",$A29=$A28),D28,"")</f>
      </c>
      <c r="E29" s="13"/>
      <c r="F29" s="13"/>
      <c r="G29" s="15"/>
      <c r="H29" s="15"/>
      <c r="I29" s="16"/>
      <c r="J29" s="13"/>
      <c r="K29" s="13">
        <f>IF(AND($A29&lt;&gt;"",$A29=$A28),K28,"")</f>
      </c>
      <c r="L29" s="13">
        <f>IF(AND($A29&lt;&gt;"",$A29=$A28),L28,"")</f>
      </c>
      <c r="M29" s="13">
        <f>IF(AND($A29&lt;&gt;"",$A29=$A28),M28,"")</f>
      </c>
      <c r="N29" s="10">
        <f>IF(H29="","",H29-G29)</f>
      </c>
      <c r="O29" s="11">
        <f>IFERROR(N29/H29,"")</f>
      </c>
      <c r="P29" s="10">
        <f>IF($A29="","",IF(COUNTIF($A$3:$A29,$A29)=1,SUMIF(cobranza!$B$3:$B$1000,$A29,cobranza!$D$3:$D$1000),"↑"))</f>
      </c>
      <c r="Q29" s="10">
        <f>IF($A29="","",IF(COUNTIF($A$3:$A29,$A29)=1,SUMIFS($H$3:$H$1000,$A$3:$A$1000,$A29,$C$3:$C$1000,"&lt;&gt;Demo")-P29,"↑"))</f>
      </c>
      <c r="R29" s="13"/>
    </row>
    <row r="30" customFormat="false" ht="15" hidden="false" customHeight="false" outlineLevel="0" collapsed="false">
      <c r="A30" s="13"/>
      <c r="B30" s="14"/>
      <c r="C30" s="13"/>
      <c r="D30" s="13">
        <f>IF(AND($A30&lt;&gt;"",$A30=$A29),D29,"")</f>
      </c>
      <c r="E30" s="13"/>
      <c r="F30" s="13"/>
      <c r="G30" s="15"/>
      <c r="H30" s="15"/>
      <c r="I30" s="16"/>
      <c r="J30" s="13"/>
      <c r="K30" s="13">
        <f>IF(AND($A30&lt;&gt;"",$A30=$A29),K29,"")</f>
      </c>
      <c r="L30" s="13">
        <f>IF(AND($A30&lt;&gt;"",$A30=$A29),L29,"")</f>
      </c>
      <c r="M30" s="13">
        <f>IF(AND($A30&lt;&gt;"",$A30=$A29),M29,"")</f>
      </c>
      <c r="N30" s="10">
        <f>IF(H30="","",H30-G30)</f>
      </c>
      <c r="O30" s="11">
        <f>IFERROR(N30/H30,"")</f>
      </c>
      <c r="P30" s="10">
        <f>IF($A30="","",IF(COUNTIF($A$3:$A30,$A30)=1,SUMIF(cobranza!$B$3:$B$1000,$A30,cobranza!$D$3:$D$1000),"↑"))</f>
      </c>
      <c r="Q30" s="10">
        <f>IF($A30="","",IF(COUNTIF($A$3:$A30,$A30)=1,SUMIFS($H$3:$H$1000,$A$3:$A$1000,$A30,$C$3:$C$1000,"&lt;&gt;Demo")-P30,"↑"))</f>
      </c>
      <c r="R30" s="13"/>
    </row>
    <row r="31" customFormat="false" ht="15" hidden="false" customHeight="false" outlineLevel="0" collapsed="false">
      <c r="A31" s="13"/>
      <c r="B31" s="14"/>
      <c r="C31" s="13"/>
      <c r="D31" s="13">
        <f>IF(AND($A31&lt;&gt;"",$A31=$A30),D30,"")</f>
      </c>
      <c r="E31" s="13"/>
      <c r="F31" s="13"/>
      <c r="G31" s="15"/>
      <c r="H31" s="15"/>
      <c r="I31" s="16"/>
      <c r="J31" s="13"/>
      <c r="K31" s="13">
        <f>IF(AND($A31&lt;&gt;"",$A31=$A30),K30,"")</f>
      </c>
      <c r="L31" s="13">
        <f>IF(AND($A31&lt;&gt;"",$A31=$A30),L30,"")</f>
      </c>
      <c r="M31" s="13">
        <f>IF(AND($A31&lt;&gt;"",$A31=$A30),M30,"")</f>
      </c>
      <c r="N31" s="10">
        <f>IF(H31="","",H31-G31)</f>
      </c>
      <c r="O31" s="11">
        <f>IFERROR(N31/H31,"")</f>
      </c>
      <c r="P31" s="10">
        <f>IF($A31="","",IF(COUNTIF($A$3:$A31,$A31)=1,SUMIF(cobranza!$B$3:$B$1000,$A31,cobranza!$D$3:$D$1000),"↑"))</f>
      </c>
      <c r="Q31" s="10">
        <f>IF($A31="","",IF(COUNTIF($A$3:$A31,$A31)=1,SUMIFS($H$3:$H$1000,$A$3:$A$1000,$A31,$C$3:$C$1000,"&lt;&gt;Demo")-P31,"↑"))</f>
      </c>
      <c r="R31" s="13"/>
    </row>
    <row r="32" customFormat="false" ht="15" hidden="false" customHeight="false" outlineLevel="0" collapsed="false">
      <c r="A32" s="13"/>
      <c r="B32" s="14"/>
      <c r="C32" s="13"/>
      <c r="D32" s="13">
        <f>IF(AND($A32&lt;&gt;"",$A32=$A31),D31,"")</f>
      </c>
      <c r="E32" s="13"/>
      <c r="F32" s="13"/>
      <c r="G32" s="15"/>
      <c r="H32" s="15"/>
      <c r="I32" s="16"/>
      <c r="J32" s="13"/>
      <c r="K32" s="13">
        <f>IF(AND($A32&lt;&gt;"",$A32=$A31),K31,"")</f>
      </c>
      <c r="L32" s="13">
        <f>IF(AND($A32&lt;&gt;"",$A32=$A31),L31,"")</f>
      </c>
      <c r="M32" s="13">
        <f>IF(AND($A32&lt;&gt;"",$A32=$A31),M31,"")</f>
      </c>
      <c r="N32" s="10">
        <f>IF(H32="","",H32-G32)</f>
      </c>
      <c r="O32" s="11">
        <f>IFERROR(N32/H32,"")</f>
      </c>
      <c r="P32" s="10">
        <f>IF($A32="","",IF(COUNTIF($A$3:$A32,$A32)=1,SUMIF(cobranza!$B$3:$B$1000,$A32,cobranza!$D$3:$D$1000),"↑"))</f>
      </c>
      <c r="Q32" s="10">
        <f>IF($A32="","",IF(COUNTIF($A$3:$A32,$A32)=1,SUMIFS($H$3:$H$1000,$A$3:$A$1000,$A32,$C$3:$C$1000,"&lt;&gt;Demo")-P32,"↑"))</f>
      </c>
      <c r="R32" s="13"/>
    </row>
    <row r="33" customFormat="false" ht="15" hidden="false" customHeight="false" outlineLevel="0" collapsed="false">
      <c r="A33" s="13"/>
      <c r="B33" s="14"/>
      <c r="C33" s="13"/>
      <c r="D33" s="13">
        <f>IF(AND($A33&lt;&gt;"",$A33=$A32),D32,"")</f>
      </c>
      <c r="E33" s="13"/>
      <c r="F33" s="13"/>
      <c r="G33" s="15"/>
      <c r="H33" s="15"/>
      <c r="I33" s="16"/>
      <c r="J33" s="13"/>
      <c r="K33" s="13">
        <f>IF(AND($A33&lt;&gt;"",$A33=$A32),K32,"")</f>
      </c>
      <c r="L33" s="13">
        <f>IF(AND($A33&lt;&gt;"",$A33=$A32),L32,"")</f>
      </c>
      <c r="M33" s="13">
        <f>IF(AND($A33&lt;&gt;"",$A33=$A32),M32,"")</f>
      </c>
      <c r="N33" s="10">
        <f>IF(H33="","",H33-G33)</f>
      </c>
      <c r="O33" s="11">
        <f>IFERROR(N33/H33,"")</f>
      </c>
      <c r="P33" s="10">
        <f>IF($A33="","",IF(COUNTIF($A$3:$A33,$A33)=1,SUMIF(cobranza!$B$3:$B$1000,$A33,cobranza!$D$3:$D$1000),"↑"))</f>
      </c>
      <c r="Q33" s="10">
        <f>IF($A33="","",IF(COUNTIF($A$3:$A33,$A33)=1,SUMIFS($H$3:$H$1000,$A$3:$A$1000,$A33,$C$3:$C$1000,"&lt;&gt;Demo")-P33,"↑"))</f>
      </c>
      <c r="R33" s="13"/>
    </row>
    <row r="34" customFormat="false" ht="15" hidden="false" customHeight="false" outlineLevel="0" collapsed="false">
      <c r="A34" s="13"/>
      <c r="B34" s="14"/>
      <c r="C34" s="13"/>
      <c r="D34" s="13">
        <f>IF(AND($A34&lt;&gt;"",$A34=$A33),D33,"")</f>
      </c>
      <c r="E34" s="13"/>
      <c r="F34" s="13"/>
      <c r="G34" s="15"/>
      <c r="H34" s="15"/>
      <c r="I34" s="16"/>
      <c r="J34" s="13"/>
      <c r="K34" s="13">
        <f>IF(AND($A34&lt;&gt;"",$A34=$A33),K33,"")</f>
      </c>
      <c r="L34" s="13">
        <f>IF(AND($A34&lt;&gt;"",$A34=$A33),L33,"")</f>
      </c>
      <c r="M34" s="13">
        <f>IF(AND($A34&lt;&gt;"",$A34=$A33),M33,"")</f>
      </c>
      <c r="N34" s="10">
        <f>IF(H34="","",H34-G34)</f>
      </c>
      <c r="O34" s="11">
        <f>IFERROR(N34/H34,"")</f>
      </c>
      <c r="P34" s="10">
        <f>IF($A34="","",IF(COUNTIF($A$3:$A34,$A34)=1,SUMIF(cobranza!$B$3:$B$1000,$A34,cobranza!$D$3:$D$1000),"↑"))</f>
      </c>
      <c r="Q34" s="10">
        <f>IF($A34="","",IF(COUNTIF($A$3:$A34,$A34)=1,SUMIFS($H$3:$H$1000,$A$3:$A$1000,$A34,$C$3:$C$1000,"&lt;&gt;Demo")-P34,"↑"))</f>
      </c>
      <c r="R34" s="13"/>
    </row>
    <row r="35" customFormat="false" ht="15" hidden="false" customHeight="false" outlineLevel="0" collapsed="false">
      <c r="A35" s="13"/>
      <c r="B35" s="14"/>
      <c r="C35" s="13"/>
      <c r="D35" s="13">
        <f>IF(AND($A35&lt;&gt;"",$A35=$A34),D34,"")</f>
      </c>
      <c r="E35" s="13"/>
      <c r="F35" s="13"/>
      <c r="G35" s="15"/>
      <c r="H35" s="15"/>
      <c r="I35" s="16"/>
      <c r="J35" s="13"/>
      <c r="K35" s="13">
        <f>IF(AND($A35&lt;&gt;"",$A35=$A34),K34,"")</f>
      </c>
      <c r="L35" s="13">
        <f>IF(AND($A35&lt;&gt;"",$A35=$A34),L34,"")</f>
      </c>
      <c r="M35" s="13">
        <f>IF(AND($A35&lt;&gt;"",$A35=$A34),M34,"")</f>
      </c>
      <c r="N35" s="10">
        <f>IF(H35="","",H35-G35)</f>
      </c>
      <c r="O35" s="11">
        <f>IFERROR(N35/H35,"")</f>
      </c>
      <c r="P35" s="10">
        <f>IF($A35="","",IF(COUNTIF($A$3:$A35,$A35)=1,SUMIF(cobranza!$B$3:$B$1000,$A35,cobranza!$D$3:$D$1000),"↑"))</f>
      </c>
      <c r="Q35" s="10">
        <f>IF($A35="","",IF(COUNTIF($A$3:$A35,$A35)=1,SUMIFS($H$3:$H$1000,$A$3:$A$1000,$A35,$C$3:$C$1000,"&lt;&gt;Demo")-P35,"↑"))</f>
      </c>
      <c r="R35" s="13"/>
    </row>
    <row r="36" customFormat="false" ht="15" hidden="false" customHeight="false" outlineLevel="0" collapsed="false">
      <c r="A36" s="13"/>
      <c r="B36" s="14"/>
      <c r="C36" s="13"/>
      <c r="D36" s="13">
        <f>IF(AND($A36&lt;&gt;"",$A36=$A35),D35,"")</f>
      </c>
      <c r="E36" s="13"/>
      <c r="F36" s="13"/>
      <c r="G36" s="15"/>
      <c r="H36" s="15"/>
      <c r="I36" s="16"/>
      <c r="J36" s="13"/>
      <c r="K36" s="13">
        <f>IF(AND($A36&lt;&gt;"",$A36=$A35),K35,"")</f>
      </c>
      <c r="L36" s="13">
        <f>IF(AND($A36&lt;&gt;"",$A36=$A35),L35,"")</f>
      </c>
      <c r="M36" s="13">
        <f>IF(AND($A36&lt;&gt;"",$A36=$A35),M35,"")</f>
      </c>
      <c r="N36" s="10">
        <f>IF(H36="","",H36-G36)</f>
      </c>
      <c r="O36" s="11">
        <f>IFERROR(N36/H36,"")</f>
      </c>
      <c r="P36" s="10">
        <f>IF($A36="","",IF(COUNTIF($A$3:$A36,$A36)=1,SUMIF(cobranza!$B$3:$B$1000,$A36,cobranza!$D$3:$D$1000),"↑"))</f>
      </c>
      <c r="Q36" s="10">
        <f>IF($A36="","",IF(COUNTIF($A$3:$A36,$A36)=1,SUMIFS($H$3:$H$1000,$A$3:$A$1000,$A36,$C$3:$C$1000,"&lt;&gt;Demo")-P36,"↑"))</f>
      </c>
      <c r="R36" s="13"/>
    </row>
    <row r="37" customFormat="false" ht="15" hidden="false" customHeight="false" outlineLevel="0" collapsed="false">
      <c r="A37" s="13"/>
      <c r="B37" s="14"/>
      <c r="C37" s="13"/>
      <c r="D37" s="13">
        <f>IF(AND($A37&lt;&gt;"",$A37=$A36),D36,"")</f>
      </c>
      <c r="E37" s="13"/>
      <c r="F37" s="13"/>
      <c r="G37" s="15"/>
      <c r="H37" s="15"/>
      <c r="I37" s="16"/>
      <c r="J37" s="13"/>
      <c r="K37" s="13">
        <f>IF(AND($A37&lt;&gt;"",$A37=$A36),K36,"")</f>
      </c>
      <c r="L37" s="13">
        <f>IF(AND($A37&lt;&gt;"",$A37=$A36),L36,"")</f>
      </c>
      <c r="M37" s="13">
        <f>IF(AND($A37&lt;&gt;"",$A37=$A36),M36,"")</f>
      </c>
      <c r="N37" s="10">
        <f>IF(H37="","",H37-G37)</f>
      </c>
      <c r="O37" s="11">
        <f>IFERROR(N37/H37,"")</f>
      </c>
      <c r="P37" s="10">
        <f>IF($A37="","",IF(COUNTIF($A$3:$A37,$A37)=1,SUMIF(cobranza!$B$3:$B$1000,$A37,cobranza!$D$3:$D$1000),"↑"))</f>
      </c>
      <c r="Q37" s="10">
        <f>IF($A37="","",IF(COUNTIF($A$3:$A37,$A37)=1,SUMIFS($H$3:$H$1000,$A$3:$A$1000,$A37,$C$3:$C$1000,"&lt;&gt;Demo")-P37,"↑"))</f>
      </c>
      <c r="R37" s="13"/>
    </row>
    <row r="38" customFormat="false" ht="15" hidden="false" customHeight="false" outlineLevel="0" collapsed="false">
      <c r="A38" s="13"/>
      <c r="B38" s="14"/>
      <c r="C38" s="13"/>
      <c r="D38" s="13">
        <f>IF(AND($A38&lt;&gt;"",$A38=$A37),D37,"")</f>
      </c>
      <c r="E38" s="13"/>
      <c r="F38" s="13"/>
      <c r="G38" s="15"/>
      <c r="H38" s="15"/>
      <c r="I38" s="16"/>
      <c r="J38" s="13"/>
      <c r="K38" s="13">
        <f>IF(AND($A38&lt;&gt;"",$A38=$A37),K37,"")</f>
      </c>
      <c r="L38" s="13">
        <f>IF(AND($A38&lt;&gt;"",$A38=$A37),L37,"")</f>
      </c>
      <c r="M38" s="13">
        <f>IF(AND($A38&lt;&gt;"",$A38=$A37),M37,"")</f>
      </c>
      <c r="N38" s="10">
        <f>IF(H38="","",H38-G38)</f>
      </c>
      <c r="O38" s="11">
        <f>IFERROR(N38/H38,"")</f>
      </c>
      <c r="P38" s="10">
        <f>IF($A38="","",IF(COUNTIF($A$3:$A38,$A38)=1,SUMIF(cobranza!$B$3:$B$1000,$A38,cobranza!$D$3:$D$1000),"↑"))</f>
      </c>
      <c r="Q38" s="10">
        <f>IF($A38="","",IF(COUNTIF($A$3:$A38,$A38)=1,SUMIFS($H$3:$H$1000,$A$3:$A$1000,$A38,$C$3:$C$1000,"&lt;&gt;Demo")-P38,"↑"))</f>
      </c>
      <c r="R38" s="13"/>
    </row>
    <row r="39" customFormat="false" ht="15" hidden="false" customHeight="false" outlineLevel="0" collapsed="false">
      <c r="A39" s="13"/>
      <c r="B39" s="14"/>
      <c r="C39" s="13"/>
      <c r="D39" s="13">
        <f>IF(AND($A39&lt;&gt;"",$A39=$A38),D38,"")</f>
      </c>
      <c r="E39" s="13"/>
      <c r="F39" s="13"/>
      <c r="G39" s="15"/>
      <c r="H39" s="15"/>
      <c r="I39" s="16"/>
      <c r="J39" s="13"/>
      <c r="K39" s="13">
        <f>IF(AND($A39&lt;&gt;"",$A39=$A38),K38,"")</f>
      </c>
      <c r="L39" s="13">
        <f>IF(AND($A39&lt;&gt;"",$A39=$A38),L38,"")</f>
      </c>
      <c r="M39" s="13">
        <f>IF(AND($A39&lt;&gt;"",$A39=$A38),M38,"")</f>
      </c>
      <c r="N39" s="10">
        <f>IF(H39="","",H39-G39)</f>
      </c>
      <c r="O39" s="11">
        <f>IFERROR(N39/H39,"")</f>
      </c>
      <c r="P39" s="10">
        <f>IF($A39="","",IF(COUNTIF($A$3:$A39,$A39)=1,SUMIF(cobranza!$B$3:$B$1000,$A39,cobranza!$D$3:$D$1000),"↑"))</f>
      </c>
      <c r="Q39" s="10">
        <f>IF($A39="","",IF(COUNTIF($A$3:$A39,$A39)=1,SUMIFS($H$3:$H$1000,$A$3:$A$1000,$A39,$C$3:$C$1000,"&lt;&gt;Demo")-P39,"↑"))</f>
      </c>
      <c r="R39" s="13"/>
    </row>
    <row r="40" customFormat="false" ht="15" hidden="false" customHeight="false" outlineLevel="0" collapsed="false">
      <c r="A40" s="13"/>
      <c r="B40" s="14"/>
      <c r="C40" s="13"/>
      <c r="D40" s="13">
        <f>IF(AND($A40&lt;&gt;"",$A40=$A39),D39,"")</f>
      </c>
      <c r="E40" s="13"/>
      <c r="F40" s="13"/>
      <c r="G40" s="15"/>
      <c r="H40" s="15"/>
      <c r="I40" s="16"/>
      <c r="J40" s="13"/>
      <c r="K40" s="13">
        <f>IF(AND($A40&lt;&gt;"",$A40=$A39),K39,"")</f>
      </c>
      <c r="L40" s="13">
        <f>IF(AND($A40&lt;&gt;"",$A40=$A39),L39,"")</f>
      </c>
      <c r="M40" s="13">
        <f>IF(AND($A40&lt;&gt;"",$A40=$A39),M39,"")</f>
      </c>
      <c r="N40" s="10">
        <f>IF(H40="","",H40-G40)</f>
      </c>
      <c r="O40" s="11">
        <f>IFERROR(N40/H40,"")</f>
      </c>
      <c r="P40" s="10">
        <f>IF($A40="","",IF(COUNTIF($A$3:$A40,$A40)=1,SUMIF(cobranza!$B$3:$B$1000,$A40,cobranza!$D$3:$D$1000),"↑"))</f>
      </c>
      <c r="Q40" s="10">
        <f>IF($A40="","",IF(COUNTIF($A$3:$A40,$A40)=1,SUMIFS($H$3:$H$1000,$A$3:$A$1000,$A40,$C$3:$C$1000,"&lt;&gt;Demo")-P40,"↑"))</f>
      </c>
      <c r="R40" s="13"/>
    </row>
    <row r="41" customFormat="false" ht="15" hidden="false" customHeight="false" outlineLevel="0" collapsed="false">
      <c r="A41" s="13"/>
      <c r="B41" s="14"/>
      <c r="C41" s="13"/>
      <c r="D41" s="13">
        <f>IF(AND($A41&lt;&gt;"",$A41=$A40),D40,"")</f>
      </c>
      <c r="E41" s="13"/>
      <c r="F41" s="13"/>
      <c r="G41" s="15"/>
      <c r="H41" s="15"/>
      <c r="I41" s="16"/>
      <c r="J41" s="13"/>
      <c r="K41" s="13">
        <f>IF(AND($A41&lt;&gt;"",$A41=$A40),K40,"")</f>
      </c>
      <c r="L41" s="13">
        <f>IF(AND($A41&lt;&gt;"",$A41=$A40),L40,"")</f>
      </c>
      <c r="M41" s="13">
        <f>IF(AND($A41&lt;&gt;"",$A41=$A40),M40,"")</f>
      </c>
      <c r="N41" s="10">
        <f>IF(H41="","",H41-G41)</f>
      </c>
      <c r="O41" s="11">
        <f>IFERROR(N41/H41,"")</f>
      </c>
      <c r="P41" s="10">
        <f>IF($A41="","",IF(COUNTIF($A$3:$A41,$A41)=1,SUMIF(cobranza!$B$3:$B$1000,$A41,cobranza!$D$3:$D$1000),"↑"))</f>
      </c>
      <c r="Q41" s="10">
        <f>IF($A41="","",IF(COUNTIF($A$3:$A41,$A41)=1,SUMIFS($H$3:$H$1000,$A$3:$A$1000,$A41,$C$3:$C$1000,"&lt;&gt;Demo")-P41,"↑"))</f>
      </c>
      <c r="R41" s="13"/>
    </row>
    <row r="42" customFormat="false" ht="15" hidden="false" customHeight="false" outlineLevel="0" collapsed="false">
      <c r="A42" s="13"/>
      <c r="B42" s="14"/>
      <c r="C42" s="13"/>
      <c r="D42" s="13">
        <f>IF(AND($A42&lt;&gt;"",$A42=$A41),D41,"")</f>
      </c>
      <c r="E42" s="13"/>
      <c r="F42" s="13"/>
      <c r="G42" s="15"/>
      <c r="H42" s="15"/>
      <c r="I42" s="16"/>
      <c r="J42" s="13"/>
      <c r="K42" s="13">
        <f>IF(AND($A42&lt;&gt;"",$A42=$A41),K41,"")</f>
      </c>
      <c r="L42" s="13">
        <f>IF(AND($A42&lt;&gt;"",$A42=$A41),L41,"")</f>
      </c>
      <c r="M42" s="13">
        <f>IF(AND($A42&lt;&gt;"",$A42=$A41),M41,"")</f>
      </c>
      <c r="N42" s="10">
        <f>IF(H42="","",H42-G42)</f>
      </c>
      <c r="O42" s="11">
        <f>IFERROR(N42/H42,"")</f>
      </c>
      <c r="P42" s="10">
        <f>IF($A42="","",IF(COUNTIF($A$3:$A42,$A42)=1,SUMIF(cobranza!$B$3:$B$1000,$A42,cobranza!$D$3:$D$1000),"↑"))</f>
      </c>
      <c r="Q42" s="10">
        <f>IF($A42="","",IF(COUNTIF($A$3:$A42,$A42)=1,SUMIFS($H$3:$H$1000,$A$3:$A$1000,$A42,$C$3:$C$1000,"&lt;&gt;Demo")-P42,"↑"))</f>
      </c>
      <c r="R42" s="13"/>
    </row>
    <row r="43" customFormat="false" ht="15" hidden="false" customHeight="false" outlineLevel="0" collapsed="false">
      <c r="A43" s="13"/>
      <c r="B43" s="14"/>
      <c r="C43" s="13"/>
      <c r="D43" s="13">
        <f>IF(AND($A43&lt;&gt;"",$A43=$A42),D42,"")</f>
      </c>
      <c r="E43" s="13"/>
      <c r="F43" s="13"/>
      <c r="G43" s="15"/>
      <c r="H43" s="15"/>
      <c r="I43" s="16"/>
      <c r="J43" s="13"/>
      <c r="K43" s="13">
        <f>IF(AND($A43&lt;&gt;"",$A43=$A42),K42,"")</f>
      </c>
      <c r="L43" s="13">
        <f>IF(AND($A43&lt;&gt;"",$A43=$A42),L42,"")</f>
      </c>
      <c r="M43" s="13">
        <f>IF(AND($A43&lt;&gt;"",$A43=$A42),M42,"")</f>
      </c>
      <c r="N43" s="10">
        <f>IF(H43="","",H43-G43)</f>
      </c>
      <c r="O43" s="11">
        <f>IFERROR(N43/H43,"")</f>
      </c>
      <c r="P43" s="10">
        <f>IF($A43="","",IF(COUNTIF($A$3:$A43,$A43)=1,SUMIF(cobranza!$B$3:$B$1000,$A43,cobranza!$D$3:$D$1000),"↑"))</f>
      </c>
      <c r="Q43" s="10">
        <f>IF($A43="","",IF(COUNTIF($A$3:$A43,$A43)=1,SUMIFS($H$3:$H$1000,$A$3:$A$1000,$A43,$C$3:$C$1000,"&lt;&gt;Demo")-P43,"↑"))</f>
      </c>
      <c r="R43" s="13"/>
    </row>
    <row r="44" customFormat="false" ht="15" hidden="false" customHeight="false" outlineLevel="0" collapsed="false">
      <c r="A44" s="13"/>
      <c r="B44" s="14"/>
      <c r="C44" s="13"/>
      <c r="D44" s="13">
        <f>IF(AND($A44&lt;&gt;"",$A44=$A43),D43,"")</f>
      </c>
      <c r="E44" s="13"/>
      <c r="F44" s="13"/>
      <c r="G44" s="15"/>
      <c r="H44" s="15"/>
      <c r="I44" s="16"/>
      <c r="J44" s="13"/>
      <c r="K44" s="13">
        <f>IF(AND($A44&lt;&gt;"",$A44=$A43),K43,"")</f>
      </c>
      <c r="L44" s="13">
        <f>IF(AND($A44&lt;&gt;"",$A44=$A43),L43,"")</f>
      </c>
      <c r="M44" s="13">
        <f>IF(AND($A44&lt;&gt;"",$A44=$A43),M43,"")</f>
      </c>
      <c r="N44" s="10">
        <f>IF(H44="","",H44-G44)</f>
      </c>
      <c r="O44" s="11">
        <f>IFERROR(N44/H44,"")</f>
      </c>
      <c r="P44" s="10">
        <f>IF($A44="","",IF(COUNTIF($A$3:$A44,$A44)=1,SUMIF(cobranza!$B$3:$B$1000,$A44,cobranza!$D$3:$D$1000),"↑"))</f>
      </c>
      <c r="Q44" s="10">
        <f>IF($A44="","",IF(COUNTIF($A$3:$A44,$A44)=1,SUMIFS($H$3:$H$1000,$A$3:$A$1000,$A44,$C$3:$C$1000,"&lt;&gt;Demo")-P44,"↑"))</f>
      </c>
      <c r="R44" s="13"/>
    </row>
    <row r="45" customFormat="false" ht="15" hidden="false" customHeight="false" outlineLevel="0" collapsed="false">
      <c r="A45" s="13"/>
      <c r="B45" s="14"/>
      <c r="C45" s="13"/>
      <c r="D45" s="13">
        <f>IF(AND($A45&lt;&gt;"",$A45=$A44),D44,"")</f>
      </c>
      <c r="E45" s="13"/>
      <c r="F45" s="13"/>
      <c r="G45" s="15"/>
      <c r="H45" s="15"/>
      <c r="I45" s="16"/>
      <c r="J45" s="13"/>
      <c r="K45" s="13">
        <f>IF(AND($A45&lt;&gt;"",$A45=$A44),K44,"")</f>
      </c>
      <c r="L45" s="13">
        <f>IF(AND($A45&lt;&gt;"",$A45=$A44),L44,"")</f>
      </c>
      <c r="M45" s="13">
        <f>IF(AND($A45&lt;&gt;"",$A45=$A44),M44,"")</f>
      </c>
      <c r="N45" s="10">
        <f>IF(H45="","",H45-G45)</f>
      </c>
      <c r="O45" s="11">
        <f>IFERROR(N45/H45,"")</f>
      </c>
      <c r="P45" s="10">
        <f>IF($A45="","",IF(COUNTIF($A$3:$A45,$A45)=1,SUMIF(cobranza!$B$3:$B$1000,$A45,cobranza!$D$3:$D$1000),"↑"))</f>
      </c>
      <c r="Q45" s="10">
        <f>IF($A45="","",IF(COUNTIF($A$3:$A45,$A45)=1,SUMIFS($H$3:$H$1000,$A$3:$A$1000,$A45,$C$3:$C$1000,"&lt;&gt;Demo")-P45,"↑"))</f>
      </c>
      <c r="R45" s="13"/>
    </row>
    <row r="46" customFormat="false" ht="15" hidden="false" customHeight="false" outlineLevel="0" collapsed="false">
      <c r="A46" s="13"/>
      <c r="B46" s="14"/>
      <c r="C46" s="13"/>
      <c r="D46" s="13">
        <f>IF(AND($A46&lt;&gt;"",$A46=$A45),D45,"")</f>
      </c>
      <c r="E46" s="13"/>
      <c r="F46" s="13"/>
      <c r="G46" s="15"/>
      <c r="H46" s="15"/>
      <c r="I46" s="16"/>
      <c r="J46" s="13"/>
      <c r="K46" s="13">
        <f>IF(AND($A46&lt;&gt;"",$A46=$A45),K45,"")</f>
      </c>
      <c r="L46" s="13">
        <f>IF(AND($A46&lt;&gt;"",$A46=$A45),L45,"")</f>
      </c>
      <c r="M46" s="13">
        <f>IF(AND($A46&lt;&gt;"",$A46=$A45),M45,"")</f>
      </c>
      <c r="N46" s="10">
        <f>IF(H46="","",H46-G46)</f>
      </c>
      <c r="O46" s="11">
        <f>IFERROR(N46/H46,"")</f>
      </c>
      <c r="P46" s="10">
        <f>IF($A46="","",IF(COUNTIF($A$3:$A46,$A46)=1,SUMIF(cobranza!$B$3:$B$1000,$A46,cobranza!$D$3:$D$1000),"↑"))</f>
      </c>
      <c r="Q46" s="10">
        <f>IF($A46="","",IF(COUNTIF($A$3:$A46,$A46)=1,SUMIFS($H$3:$H$1000,$A$3:$A$1000,$A46,$C$3:$C$1000,"&lt;&gt;Demo")-P46,"↑"))</f>
      </c>
      <c r="R46" s="13"/>
    </row>
    <row r="47" customFormat="false" ht="15" hidden="false" customHeight="false" outlineLevel="0" collapsed="false">
      <c r="A47" s="13"/>
      <c r="B47" s="14"/>
      <c r="C47" s="13"/>
      <c r="D47" s="13">
        <f>IF(AND($A47&lt;&gt;"",$A47=$A46),D46,"")</f>
      </c>
      <c r="E47" s="13"/>
      <c r="F47" s="13"/>
      <c r="G47" s="15"/>
      <c r="H47" s="15"/>
      <c r="I47" s="16"/>
      <c r="J47" s="13"/>
      <c r="K47" s="13">
        <f>IF(AND($A47&lt;&gt;"",$A47=$A46),K46,"")</f>
      </c>
      <c r="L47" s="13">
        <f>IF(AND($A47&lt;&gt;"",$A47=$A46),L46,"")</f>
      </c>
      <c r="M47" s="13">
        <f>IF(AND($A47&lt;&gt;"",$A47=$A46),M46,"")</f>
      </c>
      <c r="N47" s="10">
        <f>IF(H47="","",H47-G47)</f>
      </c>
      <c r="O47" s="11">
        <f>IFERROR(N47/H47,"")</f>
      </c>
      <c r="P47" s="10">
        <f>IF($A47="","",IF(COUNTIF($A$3:$A47,$A47)=1,SUMIF(cobranza!$B$3:$B$1000,$A47,cobranza!$D$3:$D$1000),"↑"))</f>
      </c>
      <c r="Q47" s="10">
        <f>IF($A47="","",IF(COUNTIF($A$3:$A47,$A47)=1,SUMIFS($H$3:$H$1000,$A$3:$A$1000,$A47,$C$3:$C$1000,"&lt;&gt;Demo")-P47,"↑"))</f>
      </c>
      <c r="R47" s="13"/>
    </row>
    <row r="48" customFormat="false" ht="15" hidden="false" customHeight="false" outlineLevel="0" collapsed="false">
      <c r="A48" s="13"/>
      <c r="B48" s="14"/>
      <c r="C48" s="13"/>
      <c r="D48" s="13">
        <f>IF(AND($A48&lt;&gt;"",$A48=$A47),D47,"")</f>
      </c>
      <c r="E48" s="13"/>
      <c r="F48" s="13"/>
      <c r="G48" s="15"/>
      <c r="H48" s="15"/>
      <c r="I48" s="16"/>
      <c r="J48" s="13"/>
      <c r="K48" s="13">
        <f>IF(AND($A48&lt;&gt;"",$A48=$A47),K47,"")</f>
      </c>
      <c r="L48" s="13">
        <f>IF(AND($A48&lt;&gt;"",$A48=$A47),L47,"")</f>
      </c>
      <c r="M48" s="13">
        <f>IF(AND($A48&lt;&gt;"",$A48=$A47),M47,"")</f>
      </c>
      <c r="N48" s="10">
        <f>IF(H48="","",H48-G48)</f>
      </c>
      <c r="O48" s="11">
        <f>IFERROR(N48/H48,"")</f>
      </c>
      <c r="P48" s="10">
        <f>IF($A48="","",IF(COUNTIF($A$3:$A48,$A48)=1,SUMIF(cobranza!$B$3:$B$1000,$A48,cobranza!$D$3:$D$1000),"↑"))</f>
      </c>
      <c r="Q48" s="10">
        <f>IF($A48="","",IF(COUNTIF($A$3:$A48,$A48)=1,SUMIFS($H$3:$H$1000,$A$3:$A$1000,$A48,$C$3:$C$1000,"&lt;&gt;Demo")-P48,"↑"))</f>
      </c>
      <c r="R48" s="13"/>
    </row>
    <row r="49" customFormat="false" ht="15" hidden="false" customHeight="false" outlineLevel="0" collapsed="false">
      <c r="A49" s="13"/>
      <c r="B49" s="14"/>
      <c r="C49" s="13"/>
      <c r="D49" s="13">
        <f>IF(AND($A49&lt;&gt;"",$A49=$A48),D48,"")</f>
      </c>
      <c r="E49" s="13"/>
      <c r="F49" s="13"/>
      <c r="G49" s="15"/>
      <c r="H49" s="15"/>
      <c r="I49" s="16"/>
      <c r="J49" s="13"/>
      <c r="K49" s="13">
        <f>IF(AND($A49&lt;&gt;"",$A49=$A48),K48,"")</f>
      </c>
      <c r="L49" s="13">
        <f>IF(AND($A49&lt;&gt;"",$A49=$A48),L48,"")</f>
      </c>
      <c r="M49" s="13">
        <f>IF(AND($A49&lt;&gt;"",$A49=$A48),M48,"")</f>
      </c>
      <c r="N49" s="10">
        <f>IF(H49="","",H49-G49)</f>
      </c>
      <c r="O49" s="11">
        <f>IFERROR(N49/H49,"")</f>
      </c>
      <c r="P49" s="10">
        <f>IF($A49="","",IF(COUNTIF($A$3:$A49,$A49)=1,SUMIF(cobranza!$B$3:$B$1000,$A49,cobranza!$D$3:$D$1000),"↑"))</f>
      </c>
      <c r="Q49" s="10">
        <f>IF($A49="","",IF(COUNTIF($A$3:$A49,$A49)=1,SUMIFS($H$3:$H$1000,$A$3:$A$1000,$A49,$C$3:$C$1000,"&lt;&gt;Demo")-P49,"↑"))</f>
      </c>
      <c r="R49" s="13"/>
    </row>
    <row r="50" customFormat="false" ht="15" hidden="false" customHeight="false" outlineLevel="0" collapsed="false">
      <c r="A50" s="13"/>
      <c r="B50" s="14"/>
      <c r="C50" s="13"/>
      <c r="D50" s="13">
        <f>IF(AND($A50&lt;&gt;"",$A50=$A49),D49,"")</f>
      </c>
      <c r="E50" s="13"/>
      <c r="F50" s="13"/>
      <c r="G50" s="15"/>
      <c r="H50" s="15"/>
      <c r="I50" s="16"/>
      <c r="J50" s="13"/>
      <c r="K50" s="13">
        <f>IF(AND($A50&lt;&gt;"",$A50=$A49),K49,"")</f>
      </c>
      <c r="L50" s="13">
        <f>IF(AND($A50&lt;&gt;"",$A50=$A49),L49,"")</f>
      </c>
      <c r="M50" s="13">
        <f>IF(AND($A50&lt;&gt;"",$A50=$A49),M49,"")</f>
      </c>
      <c r="N50" s="10">
        <f>IF(H50="","",H50-G50)</f>
      </c>
      <c r="O50" s="11">
        <f>IFERROR(N50/H50,"")</f>
      </c>
      <c r="P50" s="10">
        <f>IF($A50="","",IF(COUNTIF($A$3:$A50,$A50)=1,SUMIF(cobranza!$B$3:$B$1000,$A50,cobranza!$D$3:$D$1000),"↑"))</f>
      </c>
      <c r="Q50" s="10">
        <f>IF($A50="","",IF(COUNTIF($A$3:$A50,$A50)=1,SUMIFS($H$3:$H$1000,$A$3:$A$1000,$A50,$C$3:$C$1000,"&lt;&gt;Demo")-P50,"↑"))</f>
      </c>
      <c r="R50" s="13"/>
    </row>
    <row r="51" customFormat="false" ht="15" hidden="false" customHeight="false" outlineLevel="0" collapsed="false">
      <c r="A51" s="13"/>
      <c r="B51" s="14"/>
      <c r="C51" s="13"/>
      <c r="D51" s="13">
        <f>IF(AND($A51&lt;&gt;"",$A51=$A50),D50,"")</f>
      </c>
      <c r="E51" s="13"/>
      <c r="F51" s="13"/>
      <c r="G51" s="15"/>
      <c r="H51" s="15"/>
      <c r="I51" s="16"/>
      <c r="J51" s="13"/>
      <c r="K51" s="13">
        <f>IF(AND($A51&lt;&gt;"",$A51=$A50),K50,"")</f>
      </c>
      <c r="L51" s="13">
        <f>IF(AND($A51&lt;&gt;"",$A51=$A50),L50,"")</f>
      </c>
      <c r="M51" s="13">
        <f>IF(AND($A51&lt;&gt;"",$A51=$A50),M50,"")</f>
      </c>
      <c r="N51" s="10">
        <f>IF(H51="","",H51-G51)</f>
      </c>
      <c r="O51" s="11">
        <f>IFERROR(N51/H51,"")</f>
      </c>
      <c r="P51" s="10">
        <f>IF($A51="","",IF(COUNTIF($A$3:$A51,$A51)=1,SUMIF(cobranza!$B$3:$B$1000,$A51,cobranza!$D$3:$D$1000),"↑"))</f>
      </c>
      <c r="Q51" s="10">
        <f>IF($A51="","",IF(COUNTIF($A$3:$A51,$A51)=1,SUMIFS($H$3:$H$1000,$A$3:$A$1000,$A51,$C$3:$C$1000,"&lt;&gt;Demo")-P51,"↑"))</f>
      </c>
      <c r="R51" s="13"/>
    </row>
    <row r="52" customFormat="false" ht="15" hidden="false" customHeight="false" outlineLevel="0" collapsed="false">
      <c r="A52" s="13"/>
      <c r="B52" s="14"/>
      <c r="C52" s="13"/>
      <c r="D52" s="13">
        <f>IF(AND($A52&lt;&gt;"",$A52=$A51),D51,"")</f>
      </c>
      <c r="E52" s="13"/>
      <c r="F52" s="13"/>
      <c r="G52" s="15"/>
      <c r="H52" s="15"/>
      <c r="I52" s="16"/>
      <c r="J52" s="13"/>
      <c r="K52" s="13">
        <f>IF(AND($A52&lt;&gt;"",$A52=$A51),K51,"")</f>
      </c>
      <c r="L52" s="13">
        <f>IF(AND($A52&lt;&gt;"",$A52=$A51),L51,"")</f>
      </c>
      <c r="M52" s="13">
        <f>IF(AND($A52&lt;&gt;"",$A52=$A51),M51,"")</f>
      </c>
      <c r="N52" s="10">
        <f>IF(H52="","",H52-G52)</f>
      </c>
      <c r="O52" s="11">
        <f>IFERROR(N52/H52,"")</f>
      </c>
      <c r="P52" s="10">
        <f>IF($A52="","",IF(COUNTIF($A$3:$A52,$A52)=1,SUMIF(cobranza!$B$3:$B$1000,$A52,cobranza!$D$3:$D$1000),"↑"))</f>
      </c>
      <c r="Q52" s="10">
        <f>IF($A52="","",IF(COUNTIF($A$3:$A52,$A52)=1,SUMIFS($H$3:$H$1000,$A$3:$A$1000,$A52,$C$3:$C$1000,"&lt;&gt;Demo")-P52,"↑"))</f>
      </c>
      <c r="R52" s="13"/>
    </row>
    <row r="53" customFormat="false" ht="15" hidden="false" customHeight="false" outlineLevel="0" collapsed="false">
      <c r="A53" s="13"/>
      <c r="B53" s="14"/>
      <c r="C53" s="13"/>
      <c r="D53" s="13">
        <f>IF(AND($A53&lt;&gt;"",$A53=$A52),D52,"")</f>
      </c>
      <c r="E53" s="13"/>
      <c r="F53" s="13"/>
      <c r="G53" s="15"/>
      <c r="H53" s="15"/>
      <c r="I53" s="16"/>
      <c r="J53" s="13"/>
      <c r="K53" s="13">
        <f>IF(AND($A53&lt;&gt;"",$A53=$A52),K52,"")</f>
      </c>
      <c r="L53" s="13">
        <f>IF(AND($A53&lt;&gt;"",$A53=$A52),L52,"")</f>
      </c>
      <c r="M53" s="13">
        <f>IF(AND($A53&lt;&gt;"",$A53=$A52),M52,"")</f>
      </c>
      <c r="N53" s="10">
        <f>IF(H53="","",H53-G53)</f>
      </c>
      <c r="O53" s="11">
        <f>IFERROR(N53/H53,"")</f>
      </c>
      <c r="P53" s="10">
        <f>IF($A53="","",IF(COUNTIF($A$3:$A53,$A53)=1,SUMIF(cobranza!$B$3:$B$1000,$A53,cobranza!$D$3:$D$1000),"↑"))</f>
      </c>
      <c r="Q53" s="10">
        <f>IF($A53="","",IF(COUNTIF($A$3:$A53,$A53)=1,SUMIFS($H$3:$H$1000,$A$3:$A$1000,$A53,$C$3:$C$1000,"&lt;&gt;Demo")-P53,"↑"))</f>
      </c>
      <c r="R53" s="13"/>
    </row>
    <row r="54" customFormat="false" ht="15" hidden="false" customHeight="false" outlineLevel="0" collapsed="false">
      <c r="A54" s="13"/>
      <c r="B54" s="14"/>
      <c r="C54" s="13"/>
      <c r="D54" s="13">
        <f>IF(AND($A54&lt;&gt;"",$A54=$A53),D53,"")</f>
      </c>
      <c r="E54" s="13"/>
      <c r="F54" s="13"/>
      <c r="G54" s="15"/>
      <c r="H54" s="15"/>
      <c r="I54" s="16"/>
      <c r="J54" s="13"/>
      <c r="K54" s="13">
        <f>IF(AND($A54&lt;&gt;"",$A54=$A53),K53,"")</f>
      </c>
      <c r="L54" s="13">
        <f>IF(AND($A54&lt;&gt;"",$A54=$A53),L53,"")</f>
      </c>
      <c r="M54" s="13">
        <f>IF(AND($A54&lt;&gt;"",$A54=$A53),M53,"")</f>
      </c>
      <c r="N54" s="10">
        <f>IF(H54="","",H54-G54)</f>
      </c>
      <c r="O54" s="11">
        <f>IFERROR(N54/H54,"")</f>
      </c>
      <c r="P54" s="10">
        <f>IF($A54="","",IF(COUNTIF($A$3:$A54,$A54)=1,SUMIF(cobranza!$B$3:$B$1000,$A54,cobranza!$D$3:$D$1000),"↑"))</f>
      </c>
      <c r="Q54" s="10">
        <f>IF($A54="","",IF(COUNTIF($A$3:$A54,$A54)=1,SUMIFS($H$3:$H$1000,$A$3:$A$1000,$A54,$C$3:$C$1000,"&lt;&gt;Demo")-P54,"↑"))</f>
      </c>
      <c r="R54" s="13"/>
    </row>
    <row r="55" customFormat="false" ht="15" hidden="false" customHeight="false" outlineLevel="0" collapsed="false">
      <c r="A55" s="13"/>
      <c r="B55" s="14"/>
      <c r="C55" s="13"/>
      <c r="D55" s="13">
        <f>IF(AND($A55&lt;&gt;"",$A55=$A54),D54,"")</f>
      </c>
      <c r="E55" s="13"/>
      <c r="F55" s="13"/>
      <c r="G55" s="15"/>
      <c r="H55" s="15"/>
      <c r="I55" s="16"/>
      <c r="J55" s="13"/>
      <c r="K55" s="13">
        <f>IF(AND($A55&lt;&gt;"",$A55=$A54),K54,"")</f>
      </c>
      <c r="L55" s="13">
        <f>IF(AND($A55&lt;&gt;"",$A55=$A54),L54,"")</f>
      </c>
      <c r="M55" s="13">
        <f>IF(AND($A55&lt;&gt;"",$A55=$A54),M54,"")</f>
      </c>
      <c r="N55" s="10">
        <f>IF(H55="","",H55-G55)</f>
      </c>
      <c r="O55" s="11">
        <f>IFERROR(N55/H55,"")</f>
      </c>
      <c r="P55" s="10">
        <f>IF($A55="","",IF(COUNTIF($A$3:$A55,$A55)=1,SUMIF(cobranza!$B$3:$B$1000,$A55,cobranza!$D$3:$D$1000),"↑"))</f>
      </c>
      <c r="Q55" s="10">
        <f>IF($A55="","",IF(COUNTIF($A$3:$A55,$A55)=1,SUMIFS($H$3:$H$1000,$A$3:$A$1000,$A55,$C$3:$C$1000,"&lt;&gt;Demo")-P55,"↑"))</f>
      </c>
      <c r="R55" s="13"/>
    </row>
    <row r="56" customFormat="false" ht="15" hidden="false" customHeight="false" outlineLevel="0" collapsed="false">
      <c r="A56" s="13"/>
      <c r="B56" s="14"/>
      <c r="C56" s="13"/>
      <c r="D56" s="13">
        <f>IF(AND($A56&lt;&gt;"",$A56=$A55),D55,"")</f>
      </c>
      <c r="E56" s="13"/>
      <c r="F56" s="13"/>
      <c r="G56" s="15"/>
      <c r="H56" s="15"/>
      <c r="I56" s="16"/>
      <c r="J56" s="13"/>
      <c r="K56" s="13">
        <f>IF(AND($A56&lt;&gt;"",$A56=$A55),K55,"")</f>
      </c>
      <c r="L56" s="13">
        <f>IF(AND($A56&lt;&gt;"",$A56=$A55),L55,"")</f>
      </c>
      <c r="M56" s="13">
        <f>IF(AND($A56&lt;&gt;"",$A56=$A55),M55,"")</f>
      </c>
      <c r="N56" s="10">
        <f>IF(H56="","",H56-G56)</f>
      </c>
      <c r="O56" s="11">
        <f>IFERROR(N56/H56,"")</f>
      </c>
      <c r="P56" s="10">
        <f>IF($A56="","",IF(COUNTIF($A$3:$A56,$A56)=1,SUMIF(cobranza!$B$3:$B$1000,$A56,cobranza!$D$3:$D$1000),"↑"))</f>
      </c>
      <c r="Q56" s="10">
        <f>IF($A56="","",IF(COUNTIF($A$3:$A56,$A56)=1,SUMIFS($H$3:$H$1000,$A$3:$A$1000,$A56,$C$3:$C$1000,"&lt;&gt;Demo")-P56,"↑"))</f>
      </c>
      <c r="R56" s="13"/>
    </row>
    <row r="57" customFormat="false" ht="15" hidden="false" customHeight="false" outlineLevel="0" collapsed="false">
      <c r="A57" s="13"/>
      <c r="B57" s="14"/>
      <c r="C57" s="13"/>
      <c r="D57" s="13">
        <f>IF(AND($A57&lt;&gt;"",$A57=$A56),D56,"")</f>
      </c>
      <c r="E57" s="13"/>
      <c r="F57" s="13"/>
      <c r="G57" s="15"/>
      <c r="H57" s="15"/>
      <c r="I57" s="16"/>
      <c r="J57" s="13"/>
      <c r="K57" s="13">
        <f>IF(AND($A57&lt;&gt;"",$A57=$A56),K56,"")</f>
      </c>
      <c r="L57" s="13">
        <f>IF(AND($A57&lt;&gt;"",$A57=$A56),L56,"")</f>
      </c>
      <c r="M57" s="13">
        <f>IF(AND($A57&lt;&gt;"",$A57=$A56),M56,"")</f>
      </c>
      <c r="N57" s="10">
        <f>IF(H57="","",H57-G57)</f>
      </c>
      <c r="O57" s="11">
        <f>IFERROR(N57/H57,"")</f>
      </c>
      <c r="P57" s="10">
        <f>IF($A57="","",IF(COUNTIF($A$3:$A57,$A57)=1,SUMIF(cobranza!$B$3:$B$1000,$A57,cobranza!$D$3:$D$1000),"↑"))</f>
      </c>
      <c r="Q57" s="10">
        <f>IF($A57="","",IF(COUNTIF($A$3:$A57,$A57)=1,SUMIFS($H$3:$H$1000,$A$3:$A$1000,$A57,$C$3:$C$1000,"&lt;&gt;Demo")-P57,"↑"))</f>
      </c>
      <c r="R57" s="13"/>
    </row>
    <row r="58" customFormat="false" ht="15" hidden="false" customHeight="false" outlineLevel="0" collapsed="false">
      <c r="A58" s="13"/>
      <c r="B58" s="14"/>
      <c r="C58" s="13"/>
      <c r="D58" s="13">
        <f>IF(AND($A58&lt;&gt;"",$A58=$A57),D57,"")</f>
      </c>
      <c r="E58" s="13"/>
      <c r="F58" s="13"/>
      <c r="G58" s="15"/>
      <c r="H58" s="15"/>
      <c r="I58" s="16"/>
      <c r="J58" s="13"/>
      <c r="K58" s="13">
        <f>IF(AND($A58&lt;&gt;"",$A58=$A57),K57,"")</f>
      </c>
      <c r="L58" s="13">
        <f>IF(AND($A58&lt;&gt;"",$A58=$A57),L57,"")</f>
      </c>
      <c r="M58" s="13">
        <f>IF(AND($A58&lt;&gt;"",$A58=$A57),M57,"")</f>
      </c>
      <c r="N58" s="10">
        <f>IF(H58="","",H58-G58)</f>
      </c>
      <c r="O58" s="11">
        <f>IFERROR(N58/H58,"")</f>
      </c>
      <c r="P58" s="10">
        <f>IF($A58="","",IF(COUNTIF($A$3:$A58,$A58)=1,SUMIF(cobranza!$B$3:$B$1000,$A58,cobranza!$D$3:$D$1000),"↑"))</f>
      </c>
      <c r="Q58" s="10">
        <f>IF($A58="","",IF(COUNTIF($A$3:$A58,$A58)=1,SUMIFS($H$3:$H$1000,$A$3:$A$1000,$A58,$C$3:$C$1000,"&lt;&gt;Demo")-P58,"↑"))</f>
      </c>
      <c r="R58" s="13"/>
    </row>
    <row r="59" customFormat="false" ht="15" hidden="false" customHeight="false" outlineLevel="0" collapsed="false">
      <c r="A59" s="13"/>
      <c r="B59" s="14"/>
      <c r="C59" s="13"/>
      <c r="D59" s="13">
        <f>IF(AND($A59&lt;&gt;"",$A59=$A58),D58,"")</f>
      </c>
      <c r="E59" s="13"/>
      <c r="F59" s="13"/>
      <c r="G59" s="15"/>
      <c r="H59" s="15"/>
      <c r="I59" s="16"/>
      <c r="J59" s="13"/>
      <c r="K59" s="13">
        <f>IF(AND($A59&lt;&gt;"",$A59=$A58),K58,"")</f>
      </c>
      <c r="L59" s="13">
        <f>IF(AND($A59&lt;&gt;"",$A59=$A58),L58,"")</f>
      </c>
      <c r="M59" s="13">
        <f>IF(AND($A59&lt;&gt;"",$A59=$A58),M58,"")</f>
      </c>
      <c r="N59" s="10">
        <f>IF(H59="","",H59-G59)</f>
      </c>
      <c r="O59" s="11">
        <f>IFERROR(N59/H59,"")</f>
      </c>
      <c r="P59" s="10">
        <f>IF($A59="","",IF(COUNTIF($A$3:$A59,$A59)=1,SUMIF(cobranza!$B$3:$B$1000,$A59,cobranza!$D$3:$D$1000),"↑"))</f>
      </c>
      <c r="Q59" s="10">
        <f>IF($A59="","",IF(COUNTIF($A$3:$A59,$A59)=1,SUMIFS($H$3:$H$1000,$A$3:$A$1000,$A59,$C$3:$C$1000,"&lt;&gt;Demo")-P59,"↑"))</f>
      </c>
      <c r="R59" s="13"/>
    </row>
    <row r="60" customFormat="false" ht="15" hidden="false" customHeight="false" outlineLevel="0" collapsed="false">
      <c r="A60" s="13"/>
      <c r="B60" s="14"/>
      <c r="C60" s="13"/>
      <c r="D60" s="13">
        <f>IF(AND($A60&lt;&gt;"",$A60=$A59),D59,"")</f>
      </c>
      <c r="E60" s="13"/>
      <c r="F60" s="13"/>
      <c r="G60" s="15"/>
      <c r="H60" s="15"/>
      <c r="I60" s="16"/>
      <c r="J60" s="13"/>
      <c r="K60" s="13">
        <f>IF(AND($A60&lt;&gt;"",$A60=$A59),K59,"")</f>
      </c>
      <c r="L60" s="13">
        <f>IF(AND($A60&lt;&gt;"",$A60=$A59),L59,"")</f>
      </c>
      <c r="M60" s="13">
        <f>IF(AND($A60&lt;&gt;"",$A60=$A59),M59,"")</f>
      </c>
      <c r="N60" s="10">
        <f>IF(H60="","",H60-G60)</f>
      </c>
      <c r="O60" s="11">
        <f>IFERROR(N60/H60,"")</f>
      </c>
      <c r="P60" s="10">
        <f>IF($A60="","",IF(COUNTIF($A$3:$A60,$A60)=1,SUMIF(cobranza!$B$3:$B$1000,$A60,cobranza!$D$3:$D$1000),"↑"))</f>
      </c>
      <c r="Q60" s="10">
        <f>IF($A60="","",IF(COUNTIF($A$3:$A60,$A60)=1,SUMIFS($H$3:$H$1000,$A$3:$A$1000,$A60,$C$3:$C$1000,"&lt;&gt;Demo")-P60,"↑"))</f>
      </c>
      <c r="R60" s="13"/>
    </row>
    <row r="61" customFormat="false" ht="15" hidden="false" customHeight="false" outlineLevel="0" collapsed="false">
      <c r="A61" s="13"/>
      <c r="B61" s="14"/>
      <c r="C61" s="13"/>
      <c r="D61" s="13">
        <f>IF(AND($A61&lt;&gt;"",$A61=$A60),D60,"")</f>
      </c>
      <c r="E61" s="13"/>
      <c r="F61" s="13"/>
      <c r="G61" s="15"/>
      <c r="H61" s="15"/>
      <c r="I61" s="16"/>
      <c r="J61" s="13"/>
      <c r="K61" s="13">
        <f>IF(AND($A61&lt;&gt;"",$A61=$A60),K60,"")</f>
      </c>
      <c r="L61" s="13">
        <f>IF(AND($A61&lt;&gt;"",$A61=$A60),L60,"")</f>
      </c>
      <c r="M61" s="13">
        <f>IF(AND($A61&lt;&gt;"",$A61=$A60),M60,"")</f>
      </c>
      <c r="N61" s="10">
        <f>IF(H61="","",H61-G61)</f>
      </c>
      <c r="O61" s="11">
        <f>IFERROR(N61/H61,"")</f>
      </c>
      <c r="P61" s="10">
        <f>IF($A61="","",IF(COUNTIF($A$3:$A61,$A61)=1,SUMIF(cobranza!$B$3:$B$1000,$A61,cobranza!$D$3:$D$1000),"↑"))</f>
      </c>
      <c r="Q61" s="10">
        <f>IF($A61="","",IF(COUNTIF($A$3:$A61,$A61)=1,SUMIFS($H$3:$H$1000,$A$3:$A$1000,$A61,$C$3:$C$1000,"&lt;&gt;Demo")-P61,"↑"))</f>
      </c>
      <c r="R61" s="13"/>
    </row>
    <row r="62" customFormat="false" ht="15" hidden="false" customHeight="false" outlineLevel="0" collapsed="false">
      <c r="A62" s="13"/>
      <c r="B62" s="14"/>
      <c r="C62" s="13"/>
      <c r="D62" s="13">
        <f>IF(AND($A62&lt;&gt;"",$A62=$A61),D61,"")</f>
      </c>
      <c r="E62" s="13"/>
      <c r="F62" s="13"/>
      <c r="G62" s="15"/>
      <c r="H62" s="15"/>
      <c r="I62" s="16"/>
      <c r="J62" s="13"/>
      <c r="K62" s="13">
        <f>IF(AND($A62&lt;&gt;"",$A62=$A61),K61,"")</f>
      </c>
      <c r="L62" s="13">
        <f>IF(AND($A62&lt;&gt;"",$A62=$A61),L61,"")</f>
      </c>
      <c r="M62" s="13">
        <f>IF(AND($A62&lt;&gt;"",$A62=$A61),M61,"")</f>
      </c>
      <c r="N62" s="10">
        <f>IF(H62="","",H62-G62)</f>
      </c>
      <c r="O62" s="11">
        <f>IFERROR(N62/H62,"")</f>
      </c>
      <c r="P62" s="10">
        <f>IF($A62="","",IF(COUNTIF($A$3:$A62,$A62)=1,SUMIF(cobranza!$B$3:$B$1000,$A62,cobranza!$D$3:$D$1000),"↑"))</f>
      </c>
      <c r="Q62" s="10">
        <f>IF($A62="","",IF(COUNTIF($A$3:$A62,$A62)=1,SUMIFS($H$3:$H$1000,$A$3:$A$1000,$A62,$C$3:$C$1000,"&lt;&gt;Demo")-P62,"↑"))</f>
      </c>
      <c r="R62" s="13"/>
    </row>
    <row r="63" customFormat="false" ht="15" hidden="false" customHeight="false" outlineLevel="0" collapsed="false">
      <c r="A63" s="13"/>
      <c r="B63" s="14"/>
      <c r="C63" s="13"/>
      <c r="D63" s="13">
        <f>IF(AND($A63&lt;&gt;"",$A63=$A62),D62,"")</f>
      </c>
      <c r="E63" s="13"/>
      <c r="F63" s="13"/>
      <c r="G63" s="15"/>
      <c r="H63" s="15"/>
      <c r="I63" s="16"/>
      <c r="J63" s="13"/>
      <c r="K63" s="13">
        <f>IF(AND($A63&lt;&gt;"",$A63=$A62),K62,"")</f>
      </c>
      <c r="L63" s="13">
        <f>IF(AND($A63&lt;&gt;"",$A63=$A62),L62,"")</f>
      </c>
      <c r="M63" s="13">
        <f>IF(AND($A63&lt;&gt;"",$A63=$A62),M62,"")</f>
      </c>
      <c r="N63" s="10">
        <f>IF(H63="","",H63-G63)</f>
      </c>
      <c r="O63" s="11">
        <f>IFERROR(N63/H63,"")</f>
      </c>
      <c r="P63" s="10">
        <f>IF($A63="","",IF(COUNTIF($A$3:$A63,$A63)=1,SUMIF(cobranza!$B$3:$B$1000,$A63,cobranza!$D$3:$D$1000),"↑"))</f>
      </c>
      <c r="Q63" s="10">
        <f>IF($A63="","",IF(COUNTIF($A$3:$A63,$A63)=1,SUMIFS($H$3:$H$1000,$A$3:$A$1000,$A63,$C$3:$C$1000,"&lt;&gt;Demo")-P63,"↑"))</f>
      </c>
      <c r="R63" s="13"/>
    </row>
    <row r="64" customFormat="false" ht="15" hidden="false" customHeight="false" outlineLevel="0" collapsed="false">
      <c r="A64" s="13"/>
      <c r="B64" s="14"/>
      <c r="C64" s="13"/>
      <c r="D64" s="13">
        <f>IF(AND($A64&lt;&gt;"",$A64=$A63),D63,"")</f>
      </c>
      <c r="E64" s="13"/>
      <c r="F64" s="13"/>
      <c r="G64" s="15"/>
      <c r="H64" s="15"/>
      <c r="I64" s="16"/>
      <c r="J64" s="13"/>
      <c r="K64" s="13">
        <f>IF(AND($A64&lt;&gt;"",$A64=$A63),K63,"")</f>
      </c>
      <c r="L64" s="13">
        <f>IF(AND($A64&lt;&gt;"",$A64=$A63),L63,"")</f>
      </c>
      <c r="M64" s="13">
        <f>IF(AND($A64&lt;&gt;"",$A64=$A63),M63,"")</f>
      </c>
      <c r="N64" s="10">
        <f>IF(H64="","",H64-G64)</f>
      </c>
      <c r="O64" s="11">
        <f>IFERROR(N64/H64,"")</f>
      </c>
      <c r="P64" s="10">
        <f>IF($A64="","",IF(COUNTIF($A$3:$A64,$A64)=1,SUMIF(cobranza!$B$3:$B$1000,$A64,cobranza!$D$3:$D$1000),"↑"))</f>
      </c>
      <c r="Q64" s="10">
        <f>IF($A64="","",IF(COUNTIF($A$3:$A64,$A64)=1,SUMIFS($H$3:$H$1000,$A$3:$A$1000,$A64,$C$3:$C$1000,"&lt;&gt;Demo")-P64,"↑"))</f>
      </c>
      <c r="R64" s="13"/>
    </row>
    <row r="65" customFormat="false" ht="15" hidden="false" customHeight="false" outlineLevel="0" collapsed="false">
      <c r="A65" s="13"/>
      <c r="B65" s="14"/>
      <c r="C65" s="13"/>
      <c r="D65" s="13">
        <f>IF(AND($A65&lt;&gt;"",$A65=$A64),D64,"")</f>
      </c>
      <c r="E65" s="13"/>
      <c r="F65" s="13"/>
      <c r="G65" s="15"/>
      <c r="H65" s="15"/>
      <c r="I65" s="16"/>
      <c r="J65" s="13"/>
      <c r="K65" s="13">
        <f>IF(AND($A65&lt;&gt;"",$A65=$A64),K64,"")</f>
      </c>
      <c r="L65" s="13">
        <f>IF(AND($A65&lt;&gt;"",$A65=$A64),L64,"")</f>
      </c>
      <c r="M65" s="13">
        <f>IF(AND($A65&lt;&gt;"",$A65=$A64),M64,"")</f>
      </c>
      <c r="N65" s="10">
        <f>IF(H65="","",H65-G65)</f>
      </c>
      <c r="O65" s="11">
        <f>IFERROR(N65/H65,"")</f>
      </c>
      <c r="P65" s="10">
        <f>IF($A65="","",IF(COUNTIF($A$3:$A65,$A65)=1,SUMIF(cobranza!$B$3:$B$1000,$A65,cobranza!$D$3:$D$1000),"↑"))</f>
      </c>
      <c r="Q65" s="10">
        <f>IF($A65="","",IF(COUNTIF($A$3:$A65,$A65)=1,SUMIFS($H$3:$H$1000,$A$3:$A$1000,$A65,$C$3:$C$1000,"&lt;&gt;Demo")-P65,"↑"))</f>
      </c>
      <c r="R65" s="13"/>
    </row>
    <row r="66" customFormat="false" ht="15" hidden="false" customHeight="false" outlineLevel="0" collapsed="false">
      <c r="A66" s="13"/>
      <c r="B66" s="14"/>
      <c r="C66" s="13"/>
      <c r="D66" s="13">
        <f>IF(AND($A66&lt;&gt;"",$A66=$A65),D65,"")</f>
      </c>
      <c r="E66" s="13"/>
      <c r="F66" s="13"/>
      <c r="G66" s="15"/>
      <c r="H66" s="15"/>
      <c r="I66" s="16"/>
      <c r="J66" s="13"/>
      <c r="K66" s="13">
        <f>IF(AND($A66&lt;&gt;"",$A66=$A65),K65,"")</f>
      </c>
      <c r="L66" s="13">
        <f>IF(AND($A66&lt;&gt;"",$A66=$A65),L65,"")</f>
      </c>
      <c r="M66" s="13">
        <f>IF(AND($A66&lt;&gt;"",$A66=$A65),M65,"")</f>
      </c>
      <c r="N66" s="10">
        <f>IF(H66="","",H66-G66)</f>
      </c>
      <c r="O66" s="11">
        <f>IFERROR(N66/H66,"")</f>
      </c>
      <c r="P66" s="10">
        <f>IF($A66="","",IF(COUNTIF($A$3:$A66,$A66)=1,SUMIF(cobranza!$B$3:$B$1000,$A66,cobranza!$D$3:$D$1000),"↑"))</f>
      </c>
      <c r="Q66" s="10">
        <f>IF($A66="","",IF(COUNTIF($A$3:$A66,$A66)=1,SUMIFS($H$3:$H$1000,$A$3:$A$1000,$A66,$C$3:$C$1000,"&lt;&gt;Demo")-P66,"↑"))</f>
      </c>
      <c r="R66" s="13"/>
    </row>
    <row r="67" customFormat="false" ht="15" hidden="false" customHeight="false" outlineLevel="0" collapsed="false">
      <c r="A67" s="13"/>
      <c r="B67" s="14"/>
      <c r="C67" s="13"/>
      <c r="D67" s="13">
        <f>IF(AND($A67&lt;&gt;"",$A67=$A66),D66,"")</f>
      </c>
      <c r="E67" s="13"/>
      <c r="F67" s="13"/>
      <c r="G67" s="15"/>
      <c r="H67" s="15"/>
      <c r="I67" s="16"/>
      <c r="J67" s="13"/>
      <c r="K67" s="13">
        <f>IF(AND($A67&lt;&gt;"",$A67=$A66),K66,"")</f>
      </c>
      <c r="L67" s="13">
        <f>IF(AND($A67&lt;&gt;"",$A67=$A66),L66,"")</f>
      </c>
      <c r="M67" s="13">
        <f>IF(AND($A67&lt;&gt;"",$A67=$A66),M66,"")</f>
      </c>
      <c r="N67" s="10">
        <f>IF(H67="","",H67-G67)</f>
      </c>
      <c r="O67" s="11">
        <f>IFERROR(N67/H67,"")</f>
      </c>
      <c r="P67" s="10">
        <f>IF($A67="","",IF(COUNTIF($A$3:$A67,$A67)=1,SUMIF(cobranza!$B$3:$B$1000,$A67,cobranza!$D$3:$D$1000),"↑"))</f>
      </c>
      <c r="Q67" s="10">
        <f>IF($A67="","",IF(COUNTIF($A$3:$A67,$A67)=1,SUMIFS($H$3:$H$1000,$A$3:$A$1000,$A67,$C$3:$C$1000,"&lt;&gt;Demo")-P67,"↑"))</f>
      </c>
      <c r="R67" s="13"/>
    </row>
    <row r="68" customFormat="false" ht="15" hidden="false" customHeight="false" outlineLevel="0" collapsed="false">
      <c r="A68" s="13"/>
      <c r="B68" s="14"/>
      <c r="C68" s="13"/>
      <c r="D68" s="13">
        <f>IF(AND($A68&lt;&gt;"",$A68=$A67),D67,"")</f>
      </c>
      <c r="E68" s="13"/>
      <c r="F68" s="13"/>
      <c r="G68" s="15"/>
      <c r="H68" s="15"/>
      <c r="I68" s="16"/>
      <c r="J68" s="13"/>
      <c r="K68" s="13">
        <f>IF(AND($A68&lt;&gt;"",$A68=$A67),K67,"")</f>
      </c>
      <c r="L68" s="13">
        <f>IF(AND($A68&lt;&gt;"",$A68=$A67),L67,"")</f>
      </c>
      <c r="M68" s="13">
        <f>IF(AND($A68&lt;&gt;"",$A68=$A67),M67,"")</f>
      </c>
      <c r="N68" s="10">
        <f>IF(H68="","",H68-G68)</f>
      </c>
      <c r="O68" s="11">
        <f>IFERROR(N68/H68,"")</f>
      </c>
      <c r="P68" s="10">
        <f>IF($A68="","",IF(COUNTIF($A$3:$A68,$A68)=1,SUMIF(cobranza!$B$3:$B$1000,$A68,cobranza!$D$3:$D$1000),"↑"))</f>
      </c>
      <c r="Q68" s="10">
        <f>IF($A68="","",IF(COUNTIF($A$3:$A68,$A68)=1,SUMIFS($H$3:$H$1000,$A$3:$A$1000,$A68,$C$3:$C$1000,"&lt;&gt;Demo")-P68,"↑"))</f>
      </c>
      <c r="R68" s="13"/>
    </row>
    <row r="69" customFormat="false" ht="15" hidden="false" customHeight="false" outlineLevel="0" collapsed="false">
      <c r="A69" s="13"/>
      <c r="B69" s="14"/>
      <c r="C69" s="13"/>
      <c r="D69" s="13">
        <f>IF(AND($A69&lt;&gt;"",$A69=$A68),D68,"")</f>
      </c>
      <c r="E69" s="13"/>
      <c r="F69" s="13"/>
      <c r="G69" s="15"/>
      <c r="H69" s="15"/>
      <c r="I69" s="16"/>
      <c r="J69" s="13"/>
      <c r="K69" s="13">
        <f>IF(AND($A69&lt;&gt;"",$A69=$A68),K68,"")</f>
      </c>
      <c r="L69" s="13">
        <f>IF(AND($A69&lt;&gt;"",$A69=$A68),L68,"")</f>
      </c>
      <c r="M69" s="13">
        <f>IF(AND($A69&lt;&gt;"",$A69=$A68),M68,"")</f>
      </c>
      <c r="N69" s="10">
        <f>IF(H69="","",H69-G69)</f>
      </c>
      <c r="O69" s="11">
        <f>IFERROR(N69/H69,"")</f>
      </c>
      <c r="P69" s="10">
        <f>IF($A69="","",IF(COUNTIF($A$3:$A69,$A69)=1,SUMIF(cobranza!$B$3:$B$1000,$A69,cobranza!$D$3:$D$1000),"↑"))</f>
      </c>
      <c r="Q69" s="10">
        <f>IF($A69="","",IF(COUNTIF($A$3:$A69,$A69)=1,SUMIFS($H$3:$H$1000,$A$3:$A$1000,$A69,$C$3:$C$1000,"&lt;&gt;Demo")-P69,"↑"))</f>
      </c>
      <c r="R69" s="13"/>
    </row>
    <row r="70" customFormat="false" ht="15" hidden="false" customHeight="false" outlineLevel="0" collapsed="false">
      <c r="A70" s="13"/>
      <c r="B70" s="14"/>
      <c r="C70" s="13"/>
      <c r="D70" s="13">
        <f>IF(AND($A70&lt;&gt;"",$A70=$A69),D69,"")</f>
      </c>
      <c r="E70" s="13"/>
      <c r="F70" s="13"/>
      <c r="G70" s="15"/>
      <c r="H70" s="15"/>
      <c r="I70" s="16"/>
      <c r="J70" s="13"/>
      <c r="K70" s="13">
        <f>IF(AND($A70&lt;&gt;"",$A70=$A69),K69,"")</f>
      </c>
      <c r="L70" s="13">
        <f>IF(AND($A70&lt;&gt;"",$A70=$A69),L69,"")</f>
      </c>
      <c r="M70" s="13">
        <f>IF(AND($A70&lt;&gt;"",$A70=$A69),M69,"")</f>
      </c>
      <c r="N70" s="10">
        <f>IF(H70="","",H70-G70)</f>
      </c>
      <c r="O70" s="11">
        <f>IFERROR(N70/H70,"")</f>
      </c>
      <c r="P70" s="10">
        <f>IF($A70="","",IF(COUNTIF($A$3:$A70,$A70)=1,SUMIF(cobranza!$B$3:$B$1000,$A70,cobranza!$D$3:$D$1000),"↑"))</f>
      </c>
      <c r="Q70" s="10">
        <f>IF($A70="","",IF(COUNTIF($A$3:$A70,$A70)=1,SUMIFS($H$3:$H$1000,$A$3:$A$1000,$A70,$C$3:$C$1000,"&lt;&gt;Demo")-P70,"↑"))</f>
      </c>
      <c r="R70" s="13"/>
    </row>
    <row r="71" customFormat="false" ht="15" hidden="false" customHeight="false" outlineLevel="0" collapsed="false">
      <c r="A71" s="13"/>
      <c r="B71" s="14"/>
      <c r="C71" s="13"/>
      <c r="D71" s="13">
        <f>IF(AND($A71&lt;&gt;"",$A71=$A70),D70,"")</f>
      </c>
      <c r="E71" s="13"/>
      <c r="F71" s="13"/>
      <c r="G71" s="15"/>
      <c r="H71" s="15"/>
      <c r="I71" s="16"/>
      <c r="J71" s="13"/>
      <c r="K71" s="13">
        <f>IF(AND($A71&lt;&gt;"",$A71=$A70),K70,"")</f>
      </c>
      <c r="L71" s="13">
        <f>IF(AND($A71&lt;&gt;"",$A71=$A70),L70,"")</f>
      </c>
      <c r="M71" s="13">
        <f>IF(AND($A71&lt;&gt;"",$A71=$A70),M70,"")</f>
      </c>
      <c r="N71" s="10">
        <f>IF(H71="","",H71-G71)</f>
      </c>
      <c r="O71" s="11">
        <f>IFERROR(N71/H71,"")</f>
      </c>
      <c r="P71" s="10">
        <f>IF($A71="","",IF(COUNTIF($A$3:$A71,$A71)=1,SUMIF(cobranza!$B$3:$B$1000,$A71,cobranza!$D$3:$D$1000),"↑"))</f>
      </c>
      <c r="Q71" s="10">
        <f>IF($A71="","",IF(COUNTIF($A$3:$A71,$A71)=1,SUMIFS($H$3:$H$1000,$A$3:$A$1000,$A71,$C$3:$C$1000,"&lt;&gt;Demo")-P71,"↑"))</f>
      </c>
      <c r="R71" s="13"/>
    </row>
    <row r="72" customFormat="false" ht="15" hidden="false" customHeight="false" outlineLevel="0" collapsed="false">
      <c r="A72" s="13"/>
      <c r="B72" s="14"/>
      <c r="C72" s="13"/>
      <c r="D72" s="13">
        <f>IF(AND($A72&lt;&gt;"",$A72=$A71),D71,"")</f>
      </c>
      <c r="E72" s="13"/>
      <c r="F72" s="13"/>
      <c r="G72" s="15"/>
      <c r="H72" s="15"/>
      <c r="I72" s="16"/>
      <c r="J72" s="13"/>
      <c r="K72" s="13">
        <f>IF(AND($A72&lt;&gt;"",$A72=$A71),K71,"")</f>
      </c>
      <c r="L72" s="13">
        <f>IF(AND($A72&lt;&gt;"",$A72=$A71),L71,"")</f>
      </c>
      <c r="M72" s="13">
        <f>IF(AND($A72&lt;&gt;"",$A72=$A71),M71,"")</f>
      </c>
      <c r="N72" s="10">
        <f>IF(H72="","",H72-G72)</f>
      </c>
      <c r="O72" s="11">
        <f>IFERROR(N72/H72,"")</f>
      </c>
      <c r="P72" s="10">
        <f>IF($A72="","",IF(COUNTIF($A$3:$A72,$A72)=1,SUMIF(cobranza!$B$3:$B$1000,$A72,cobranza!$D$3:$D$1000),"↑"))</f>
      </c>
      <c r="Q72" s="10">
        <f>IF($A72="","",IF(COUNTIF($A$3:$A72,$A72)=1,SUMIFS($H$3:$H$1000,$A$3:$A$1000,$A72,$C$3:$C$1000,"&lt;&gt;Demo")-P72,"↑"))</f>
      </c>
      <c r="R72" s="13"/>
    </row>
    <row r="73" customFormat="false" ht="15" hidden="false" customHeight="false" outlineLevel="0" collapsed="false">
      <c r="A73" s="13"/>
      <c r="B73" s="14"/>
      <c r="C73" s="13"/>
      <c r="D73" s="13">
        <f>IF(AND($A73&lt;&gt;"",$A73=$A72),D72,"")</f>
      </c>
      <c r="E73" s="13"/>
      <c r="F73" s="13"/>
      <c r="G73" s="15"/>
      <c r="H73" s="15"/>
      <c r="I73" s="16"/>
      <c r="J73" s="13"/>
      <c r="K73" s="13">
        <f>IF(AND($A73&lt;&gt;"",$A73=$A72),K72,"")</f>
      </c>
      <c r="L73" s="13">
        <f>IF(AND($A73&lt;&gt;"",$A73=$A72),L72,"")</f>
      </c>
      <c r="M73" s="13">
        <f>IF(AND($A73&lt;&gt;"",$A73=$A72),M72,"")</f>
      </c>
      <c r="N73" s="10">
        <f>IF(H73="","",H73-G73)</f>
      </c>
      <c r="O73" s="11">
        <f>IFERROR(N73/H73,"")</f>
      </c>
      <c r="P73" s="10">
        <f>IF($A73="","",IF(COUNTIF($A$3:$A73,$A73)=1,SUMIF(cobranza!$B$3:$B$1000,$A73,cobranza!$D$3:$D$1000),"↑"))</f>
      </c>
      <c r="Q73" s="10">
        <f>IF($A73="","",IF(COUNTIF($A$3:$A73,$A73)=1,SUMIFS($H$3:$H$1000,$A$3:$A$1000,$A73,$C$3:$C$1000,"&lt;&gt;Demo")-P73,"↑"))</f>
      </c>
      <c r="R73" s="13"/>
    </row>
    <row r="74" customFormat="false" ht="15" hidden="false" customHeight="false" outlineLevel="0" collapsed="false">
      <c r="A74" s="13"/>
      <c r="B74" s="14"/>
      <c r="C74" s="13"/>
      <c r="D74" s="13">
        <f>IF(AND($A74&lt;&gt;"",$A74=$A73),D73,"")</f>
      </c>
      <c r="E74" s="13"/>
      <c r="F74" s="13"/>
      <c r="G74" s="15"/>
      <c r="H74" s="15"/>
      <c r="I74" s="16"/>
      <c r="J74" s="13"/>
      <c r="K74" s="13">
        <f>IF(AND($A74&lt;&gt;"",$A74=$A73),K73,"")</f>
      </c>
      <c r="L74" s="13">
        <f>IF(AND($A74&lt;&gt;"",$A74=$A73),L73,"")</f>
      </c>
      <c r="M74" s="13">
        <f>IF(AND($A74&lt;&gt;"",$A74=$A73),M73,"")</f>
      </c>
      <c r="N74" s="10">
        <f>IF(H74="","",H74-G74)</f>
      </c>
      <c r="O74" s="11">
        <f>IFERROR(N74/H74,"")</f>
      </c>
      <c r="P74" s="10">
        <f>IF($A74="","",IF(COUNTIF($A$3:$A74,$A74)=1,SUMIF(cobranza!$B$3:$B$1000,$A74,cobranza!$D$3:$D$1000),"↑"))</f>
      </c>
      <c r="Q74" s="10">
        <f>IF($A74="","",IF(COUNTIF($A$3:$A74,$A74)=1,SUMIFS($H$3:$H$1000,$A$3:$A$1000,$A74,$C$3:$C$1000,"&lt;&gt;Demo")-P74,"↑"))</f>
      </c>
      <c r="R74" s="13"/>
    </row>
    <row r="75" customFormat="false" ht="15" hidden="false" customHeight="false" outlineLevel="0" collapsed="false">
      <c r="A75" s="13"/>
      <c r="B75" s="14"/>
      <c r="C75" s="13"/>
      <c r="D75" s="13">
        <f>IF(AND($A75&lt;&gt;"",$A75=$A74),D74,"")</f>
      </c>
      <c r="E75" s="13"/>
      <c r="F75" s="13"/>
      <c r="G75" s="15"/>
      <c r="H75" s="15"/>
      <c r="I75" s="16"/>
      <c r="J75" s="13"/>
      <c r="K75" s="13">
        <f>IF(AND($A75&lt;&gt;"",$A75=$A74),K74,"")</f>
      </c>
      <c r="L75" s="13">
        <f>IF(AND($A75&lt;&gt;"",$A75=$A74),L74,"")</f>
      </c>
      <c r="M75" s="13">
        <f>IF(AND($A75&lt;&gt;"",$A75=$A74),M74,"")</f>
      </c>
      <c r="N75" s="10">
        <f>IF(H75="","",H75-G75)</f>
      </c>
      <c r="O75" s="11">
        <f>IFERROR(N75/H75,"")</f>
      </c>
      <c r="P75" s="10">
        <f>IF($A75="","",IF(COUNTIF($A$3:$A75,$A75)=1,SUMIF(cobranza!$B$3:$B$1000,$A75,cobranza!$D$3:$D$1000),"↑"))</f>
      </c>
      <c r="Q75" s="10">
        <f>IF($A75="","",IF(COUNTIF($A$3:$A75,$A75)=1,SUMIFS($H$3:$H$1000,$A$3:$A$1000,$A75,$C$3:$C$1000,"&lt;&gt;Demo")-P75,"↑"))</f>
      </c>
      <c r="R75" s="13"/>
    </row>
    <row r="76" customFormat="false" ht="15" hidden="false" customHeight="false" outlineLevel="0" collapsed="false">
      <c r="A76" s="13"/>
      <c r="B76" s="14"/>
      <c r="C76" s="13"/>
      <c r="D76" s="13">
        <f>IF(AND($A76&lt;&gt;"",$A76=$A75),D75,"")</f>
      </c>
      <c r="E76" s="13"/>
      <c r="F76" s="13"/>
      <c r="G76" s="15"/>
      <c r="H76" s="15"/>
      <c r="I76" s="16"/>
      <c r="J76" s="13"/>
      <c r="K76" s="13">
        <f>IF(AND($A76&lt;&gt;"",$A76=$A75),K75,"")</f>
      </c>
      <c r="L76" s="13">
        <f>IF(AND($A76&lt;&gt;"",$A76=$A75),L75,"")</f>
      </c>
      <c r="M76" s="13">
        <f>IF(AND($A76&lt;&gt;"",$A76=$A75),M75,"")</f>
      </c>
      <c r="N76" s="10">
        <f>IF(H76="","",H76-G76)</f>
      </c>
      <c r="O76" s="11">
        <f>IFERROR(N76/H76,"")</f>
      </c>
      <c r="P76" s="10">
        <f>IF($A76="","",IF(COUNTIF($A$3:$A76,$A76)=1,SUMIF(cobranza!$B$3:$B$1000,$A76,cobranza!$D$3:$D$1000),"↑"))</f>
      </c>
      <c r="Q76" s="10">
        <f>IF($A76="","",IF(COUNTIF($A$3:$A76,$A76)=1,SUMIFS($H$3:$H$1000,$A$3:$A$1000,$A76,$C$3:$C$1000,"&lt;&gt;Demo")-P76,"↑"))</f>
      </c>
      <c r="R76" s="13"/>
    </row>
    <row r="77" customFormat="false" ht="15" hidden="false" customHeight="false" outlineLevel="0" collapsed="false">
      <c r="A77" s="13"/>
      <c r="B77" s="14"/>
      <c r="C77" s="13"/>
      <c r="D77" s="13">
        <f>IF(AND($A77&lt;&gt;"",$A77=$A76),D76,"")</f>
      </c>
      <c r="E77" s="13"/>
      <c r="F77" s="13"/>
      <c r="G77" s="15"/>
      <c r="H77" s="15"/>
      <c r="I77" s="16"/>
      <c r="J77" s="13"/>
      <c r="K77" s="13">
        <f>IF(AND($A77&lt;&gt;"",$A77=$A76),K76,"")</f>
      </c>
      <c r="L77" s="13">
        <f>IF(AND($A77&lt;&gt;"",$A77=$A76),L76,"")</f>
      </c>
      <c r="M77" s="13">
        <f>IF(AND($A77&lt;&gt;"",$A77=$A76),M76,"")</f>
      </c>
      <c r="N77" s="10">
        <f>IF(H77="","",H77-G77)</f>
      </c>
      <c r="O77" s="11">
        <f>IFERROR(N77/H77,"")</f>
      </c>
      <c r="P77" s="10">
        <f>IF($A77="","",IF(COUNTIF($A$3:$A77,$A77)=1,SUMIF(cobranza!$B$3:$B$1000,$A77,cobranza!$D$3:$D$1000),"↑"))</f>
      </c>
      <c r="Q77" s="10">
        <f>IF($A77="","",IF(COUNTIF($A$3:$A77,$A77)=1,SUMIFS($H$3:$H$1000,$A$3:$A$1000,$A77,$C$3:$C$1000,"&lt;&gt;Demo")-P77,"↑"))</f>
      </c>
      <c r="R77" s="13"/>
    </row>
    <row r="78" customFormat="false" ht="15" hidden="false" customHeight="false" outlineLevel="0" collapsed="false">
      <c r="A78" s="13"/>
      <c r="B78" s="14"/>
      <c r="C78" s="13"/>
      <c r="D78" s="13">
        <f>IF(AND($A78&lt;&gt;"",$A78=$A77),D77,"")</f>
      </c>
      <c r="E78" s="13"/>
      <c r="F78" s="13"/>
      <c r="G78" s="15"/>
      <c r="H78" s="15"/>
      <c r="I78" s="16"/>
      <c r="J78" s="13"/>
      <c r="K78" s="13">
        <f>IF(AND($A78&lt;&gt;"",$A78=$A77),K77,"")</f>
      </c>
      <c r="L78" s="13">
        <f>IF(AND($A78&lt;&gt;"",$A78=$A77),L77,"")</f>
      </c>
      <c r="M78" s="13">
        <f>IF(AND($A78&lt;&gt;"",$A78=$A77),M77,"")</f>
      </c>
      <c r="N78" s="10">
        <f>IF(H78="","",H78-G78)</f>
      </c>
      <c r="O78" s="11">
        <f>IFERROR(N78/H78,"")</f>
      </c>
      <c r="P78" s="10">
        <f>IF($A78="","",IF(COUNTIF($A$3:$A78,$A78)=1,SUMIF(cobranza!$B$3:$B$1000,$A78,cobranza!$D$3:$D$1000),"↑"))</f>
      </c>
      <c r="Q78" s="10">
        <f>IF($A78="","",IF(COUNTIF($A$3:$A78,$A78)=1,SUMIFS($H$3:$H$1000,$A$3:$A$1000,$A78,$C$3:$C$1000,"&lt;&gt;Demo")-P78,"↑"))</f>
      </c>
      <c r="R78" s="13"/>
    </row>
    <row r="79" customFormat="false" ht="15" hidden="false" customHeight="false" outlineLevel="0" collapsed="false">
      <c r="A79" s="13"/>
      <c r="B79" s="14"/>
      <c r="C79" s="13"/>
      <c r="D79" s="13">
        <f>IF(AND($A79&lt;&gt;"",$A79=$A78),D78,"")</f>
      </c>
      <c r="E79" s="13"/>
      <c r="F79" s="13"/>
      <c r="G79" s="15"/>
      <c r="H79" s="15"/>
      <c r="I79" s="16"/>
      <c r="J79" s="13"/>
      <c r="K79" s="13">
        <f>IF(AND($A79&lt;&gt;"",$A79=$A78),K78,"")</f>
      </c>
      <c r="L79" s="13">
        <f>IF(AND($A79&lt;&gt;"",$A79=$A78),L78,"")</f>
      </c>
      <c r="M79" s="13">
        <f>IF(AND($A79&lt;&gt;"",$A79=$A78),M78,"")</f>
      </c>
      <c r="N79" s="10">
        <f>IF(H79="","",H79-G79)</f>
      </c>
      <c r="O79" s="11">
        <f>IFERROR(N79/H79,"")</f>
      </c>
      <c r="P79" s="10">
        <f>IF($A79="","",IF(COUNTIF($A$3:$A79,$A79)=1,SUMIF(cobranza!$B$3:$B$1000,$A79,cobranza!$D$3:$D$1000),"↑"))</f>
      </c>
      <c r="Q79" s="10">
        <f>IF($A79="","",IF(COUNTIF($A$3:$A79,$A79)=1,SUMIFS($H$3:$H$1000,$A$3:$A$1000,$A79,$C$3:$C$1000,"&lt;&gt;Demo")-P79,"↑"))</f>
      </c>
      <c r="R79" s="13"/>
    </row>
    <row r="80" customFormat="false" ht="15" hidden="false" customHeight="false" outlineLevel="0" collapsed="false">
      <c r="A80" s="13"/>
      <c r="B80" s="14"/>
      <c r="C80" s="13"/>
      <c r="D80" s="13">
        <f>IF(AND($A80&lt;&gt;"",$A80=$A79),D79,"")</f>
      </c>
      <c r="E80" s="13"/>
      <c r="F80" s="13"/>
      <c r="G80" s="15"/>
      <c r="H80" s="15"/>
      <c r="I80" s="16"/>
      <c r="J80" s="13"/>
      <c r="K80" s="13">
        <f>IF(AND($A80&lt;&gt;"",$A80=$A79),K79,"")</f>
      </c>
      <c r="L80" s="13">
        <f>IF(AND($A80&lt;&gt;"",$A80=$A79),L79,"")</f>
      </c>
      <c r="M80" s="13">
        <f>IF(AND($A80&lt;&gt;"",$A80=$A79),M79,"")</f>
      </c>
      <c r="N80" s="10">
        <f>IF(H80="","",H80-G80)</f>
      </c>
      <c r="O80" s="11">
        <f>IFERROR(N80/H80,"")</f>
      </c>
      <c r="P80" s="10">
        <f>IF($A80="","",IF(COUNTIF($A$3:$A80,$A80)=1,SUMIF(cobranza!$B$3:$B$1000,$A80,cobranza!$D$3:$D$1000),"↑"))</f>
      </c>
      <c r="Q80" s="10">
        <f>IF($A80="","",IF(COUNTIF($A$3:$A80,$A80)=1,SUMIFS($H$3:$H$1000,$A$3:$A$1000,$A80,$C$3:$C$1000,"&lt;&gt;Demo")-P80,"↑"))</f>
      </c>
      <c r="R80" s="13"/>
    </row>
    <row r="81" customFormat="false" ht="15" hidden="false" customHeight="false" outlineLevel="0" collapsed="false">
      <c r="A81" s="13"/>
      <c r="B81" s="14"/>
      <c r="C81" s="13"/>
      <c r="D81" s="13">
        <f>IF(AND($A81&lt;&gt;"",$A81=$A80),D80,"")</f>
      </c>
      <c r="E81" s="13"/>
      <c r="F81" s="13"/>
      <c r="G81" s="15"/>
      <c r="H81" s="15"/>
      <c r="I81" s="16"/>
      <c r="J81" s="13"/>
      <c r="K81" s="13">
        <f>IF(AND($A81&lt;&gt;"",$A81=$A80),K80,"")</f>
      </c>
      <c r="L81" s="13">
        <f>IF(AND($A81&lt;&gt;"",$A81=$A80),L80,"")</f>
      </c>
      <c r="M81" s="13">
        <f>IF(AND($A81&lt;&gt;"",$A81=$A80),M80,"")</f>
      </c>
      <c r="N81" s="10">
        <f>IF(H81="","",H81-G81)</f>
      </c>
      <c r="O81" s="11">
        <f>IFERROR(N81/H81,"")</f>
      </c>
      <c r="P81" s="10">
        <f>IF($A81="","",IF(COUNTIF($A$3:$A81,$A81)=1,SUMIF(cobranza!$B$3:$B$1000,$A81,cobranza!$D$3:$D$1000),"↑"))</f>
      </c>
      <c r="Q81" s="10">
        <f>IF($A81="","",IF(COUNTIF($A$3:$A81,$A81)=1,SUMIFS($H$3:$H$1000,$A$3:$A$1000,$A81,$C$3:$C$1000,"&lt;&gt;Demo")-P81,"↑"))</f>
      </c>
      <c r="R81" s="13"/>
    </row>
    <row r="82" customFormat="false" ht="15" hidden="false" customHeight="false" outlineLevel="0" collapsed="false">
      <c r="A82" s="13"/>
      <c r="B82" s="14"/>
      <c r="C82" s="13"/>
      <c r="D82" s="13">
        <f>IF(AND($A82&lt;&gt;"",$A82=$A81),D81,"")</f>
      </c>
      <c r="E82" s="13"/>
      <c r="F82" s="13"/>
      <c r="G82" s="15"/>
      <c r="H82" s="15"/>
      <c r="I82" s="16"/>
      <c r="J82" s="13"/>
      <c r="K82" s="13">
        <f>IF(AND($A82&lt;&gt;"",$A82=$A81),K81,"")</f>
      </c>
      <c r="L82" s="13">
        <f>IF(AND($A82&lt;&gt;"",$A82=$A81),L81,"")</f>
      </c>
      <c r="M82" s="13">
        <f>IF(AND($A82&lt;&gt;"",$A82=$A81),M81,"")</f>
      </c>
      <c r="N82" s="10">
        <f>IF(H82="","",H82-G82)</f>
      </c>
      <c r="O82" s="11">
        <f>IFERROR(N82/H82,"")</f>
      </c>
      <c r="P82" s="10">
        <f>IF($A82="","",IF(COUNTIF($A$3:$A82,$A82)=1,SUMIF(cobranza!$B$3:$B$1000,$A82,cobranza!$D$3:$D$1000),"↑"))</f>
      </c>
      <c r="Q82" s="10">
        <f>IF($A82="","",IF(COUNTIF($A$3:$A82,$A82)=1,SUMIFS($H$3:$H$1000,$A$3:$A$1000,$A82,$C$3:$C$1000,"&lt;&gt;Demo")-P82,"↑"))</f>
      </c>
      <c r="R82" s="13"/>
    </row>
    <row r="83" customFormat="false" ht="15" hidden="false" customHeight="false" outlineLevel="0" collapsed="false">
      <c r="A83" s="13"/>
      <c r="B83" s="14"/>
      <c r="C83" s="13"/>
      <c r="D83" s="13">
        <f>IF(AND($A83&lt;&gt;"",$A83=$A82),D82,"")</f>
      </c>
      <c r="E83" s="13"/>
      <c r="F83" s="13"/>
      <c r="G83" s="15"/>
      <c r="H83" s="15"/>
      <c r="I83" s="16"/>
      <c r="J83" s="13"/>
      <c r="K83" s="13">
        <f>IF(AND($A83&lt;&gt;"",$A83=$A82),K82,"")</f>
      </c>
      <c r="L83" s="13">
        <f>IF(AND($A83&lt;&gt;"",$A83=$A82),L82,"")</f>
      </c>
      <c r="M83" s="13">
        <f>IF(AND($A83&lt;&gt;"",$A83=$A82),M82,"")</f>
      </c>
      <c r="N83" s="10">
        <f>IF(H83="","",H83-G83)</f>
      </c>
      <c r="O83" s="11">
        <f>IFERROR(N83/H83,"")</f>
      </c>
      <c r="P83" s="10">
        <f>IF($A83="","",IF(COUNTIF($A$3:$A83,$A83)=1,SUMIF(cobranza!$B$3:$B$1000,$A83,cobranza!$D$3:$D$1000),"↑"))</f>
      </c>
      <c r="Q83" s="10">
        <f>IF($A83="","",IF(COUNTIF($A$3:$A83,$A83)=1,SUMIFS($H$3:$H$1000,$A$3:$A$1000,$A83,$C$3:$C$1000,"&lt;&gt;Demo")-P83,"↑"))</f>
      </c>
      <c r="R83" s="13"/>
    </row>
    <row r="84" customFormat="false" ht="15" hidden="false" customHeight="false" outlineLevel="0" collapsed="false">
      <c r="A84" s="13"/>
      <c r="B84" s="14"/>
      <c r="C84" s="13"/>
      <c r="D84" s="13">
        <f>IF(AND($A84&lt;&gt;"",$A84=$A83),D83,"")</f>
      </c>
      <c r="E84" s="13"/>
      <c r="F84" s="13"/>
      <c r="G84" s="15"/>
      <c r="H84" s="15"/>
      <c r="I84" s="16"/>
      <c r="J84" s="13"/>
      <c r="K84" s="13">
        <f>IF(AND($A84&lt;&gt;"",$A84=$A83),K83,"")</f>
      </c>
      <c r="L84" s="13">
        <f>IF(AND($A84&lt;&gt;"",$A84=$A83),L83,"")</f>
      </c>
      <c r="M84" s="13">
        <f>IF(AND($A84&lt;&gt;"",$A84=$A83),M83,"")</f>
      </c>
      <c r="N84" s="10">
        <f>IF(H84="","",H84-G84)</f>
      </c>
      <c r="O84" s="11">
        <f>IFERROR(N84/H84,"")</f>
      </c>
      <c r="P84" s="10">
        <f>IF($A84="","",IF(COUNTIF($A$3:$A84,$A84)=1,SUMIF(cobranza!$B$3:$B$1000,$A84,cobranza!$D$3:$D$1000),"↑"))</f>
      </c>
      <c r="Q84" s="10">
        <f>IF($A84="","",IF(COUNTIF($A$3:$A84,$A84)=1,SUMIFS($H$3:$H$1000,$A$3:$A$1000,$A84,$C$3:$C$1000,"&lt;&gt;Demo")-P84,"↑"))</f>
      </c>
      <c r="R84" s="13"/>
    </row>
    <row r="85" customFormat="false" ht="15" hidden="false" customHeight="false" outlineLevel="0" collapsed="false">
      <c r="A85" s="13"/>
      <c r="B85" s="14"/>
      <c r="C85" s="13"/>
      <c r="D85" s="13">
        <f>IF(AND($A85&lt;&gt;"",$A85=$A84),D84,"")</f>
      </c>
      <c r="E85" s="13"/>
      <c r="F85" s="13"/>
      <c r="G85" s="15"/>
      <c r="H85" s="15"/>
      <c r="I85" s="16"/>
      <c r="J85" s="13"/>
      <c r="K85" s="13">
        <f>IF(AND($A85&lt;&gt;"",$A85=$A84),K84,"")</f>
      </c>
      <c r="L85" s="13">
        <f>IF(AND($A85&lt;&gt;"",$A85=$A84),L84,"")</f>
      </c>
      <c r="M85" s="13">
        <f>IF(AND($A85&lt;&gt;"",$A85=$A84),M84,"")</f>
      </c>
      <c r="N85" s="10">
        <f>IF(H85="","",H85-G85)</f>
      </c>
      <c r="O85" s="11">
        <f>IFERROR(N85/H85,"")</f>
      </c>
      <c r="P85" s="10">
        <f>IF($A85="","",IF(COUNTIF($A$3:$A85,$A85)=1,SUMIF(cobranza!$B$3:$B$1000,$A85,cobranza!$D$3:$D$1000),"↑"))</f>
      </c>
      <c r="Q85" s="10">
        <f>IF($A85="","",IF(COUNTIF($A$3:$A85,$A85)=1,SUMIFS($H$3:$H$1000,$A$3:$A$1000,$A85,$C$3:$C$1000,"&lt;&gt;Demo")-P85,"↑"))</f>
      </c>
      <c r="R85" s="13"/>
    </row>
    <row r="86" customFormat="false" ht="15" hidden="false" customHeight="false" outlineLevel="0" collapsed="false">
      <c r="A86" s="13"/>
      <c r="B86" s="14"/>
      <c r="C86" s="13"/>
      <c r="D86" s="13">
        <f>IF(AND($A86&lt;&gt;"",$A86=$A85),D85,"")</f>
      </c>
      <c r="E86" s="13"/>
      <c r="F86" s="13"/>
      <c r="G86" s="15"/>
      <c r="H86" s="15"/>
      <c r="I86" s="16"/>
      <c r="J86" s="13"/>
      <c r="K86" s="13">
        <f>IF(AND($A86&lt;&gt;"",$A86=$A85),K85,"")</f>
      </c>
      <c r="L86" s="13">
        <f>IF(AND($A86&lt;&gt;"",$A86=$A85),L85,"")</f>
      </c>
      <c r="M86" s="13">
        <f>IF(AND($A86&lt;&gt;"",$A86=$A85),M85,"")</f>
      </c>
      <c r="N86" s="10">
        <f>IF(H86="","",H86-G86)</f>
      </c>
      <c r="O86" s="11">
        <f>IFERROR(N86/H86,"")</f>
      </c>
      <c r="P86" s="10">
        <f>IF($A86="","",IF(COUNTIF($A$3:$A86,$A86)=1,SUMIF(cobranza!$B$3:$B$1000,$A86,cobranza!$D$3:$D$1000),"↑"))</f>
      </c>
      <c r="Q86" s="10">
        <f>IF($A86="","",IF(COUNTIF($A$3:$A86,$A86)=1,SUMIFS($H$3:$H$1000,$A$3:$A$1000,$A86,$C$3:$C$1000,"&lt;&gt;Demo")-P86,"↑"))</f>
      </c>
      <c r="R86" s="13"/>
    </row>
    <row r="87" customFormat="false" ht="15" hidden="false" customHeight="false" outlineLevel="0" collapsed="false">
      <c r="A87" s="13"/>
      <c r="B87" s="14"/>
      <c r="C87" s="13"/>
      <c r="D87" s="13">
        <f>IF(AND($A87&lt;&gt;"",$A87=$A86),D86,"")</f>
      </c>
      <c r="E87" s="13"/>
      <c r="F87" s="13"/>
      <c r="G87" s="15"/>
      <c r="H87" s="15"/>
      <c r="I87" s="16"/>
      <c r="J87" s="13"/>
      <c r="K87" s="13">
        <f>IF(AND($A87&lt;&gt;"",$A87=$A86),K86,"")</f>
      </c>
      <c r="L87" s="13">
        <f>IF(AND($A87&lt;&gt;"",$A87=$A86),L86,"")</f>
      </c>
      <c r="M87" s="13">
        <f>IF(AND($A87&lt;&gt;"",$A87=$A86),M86,"")</f>
      </c>
      <c r="N87" s="10">
        <f>IF(H87="","",H87-G87)</f>
      </c>
      <c r="O87" s="11">
        <f>IFERROR(N87/H87,"")</f>
      </c>
      <c r="P87" s="10">
        <f>IF($A87="","",IF(COUNTIF($A$3:$A87,$A87)=1,SUMIF(cobranza!$B$3:$B$1000,$A87,cobranza!$D$3:$D$1000),"↑"))</f>
      </c>
      <c r="Q87" s="10">
        <f>IF($A87="","",IF(COUNTIF($A$3:$A87,$A87)=1,SUMIFS($H$3:$H$1000,$A$3:$A$1000,$A87,$C$3:$C$1000,"&lt;&gt;Demo")-P87,"↑"))</f>
      </c>
      <c r="R87" s="13"/>
    </row>
    <row r="88" customFormat="false" ht="15" hidden="false" customHeight="false" outlineLevel="0" collapsed="false">
      <c r="A88" s="13"/>
      <c r="B88" s="14"/>
      <c r="C88" s="13"/>
      <c r="D88" s="13">
        <f>IF(AND($A88&lt;&gt;"",$A88=$A87),D87,"")</f>
      </c>
      <c r="E88" s="13"/>
      <c r="F88" s="13"/>
      <c r="G88" s="15"/>
      <c r="H88" s="15"/>
      <c r="I88" s="16"/>
      <c r="J88" s="13"/>
      <c r="K88" s="13">
        <f>IF(AND($A88&lt;&gt;"",$A88=$A87),K87,"")</f>
      </c>
      <c r="L88" s="13">
        <f>IF(AND($A88&lt;&gt;"",$A88=$A87),L87,"")</f>
      </c>
      <c r="M88" s="13">
        <f>IF(AND($A88&lt;&gt;"",$A88=$A87),M87,"")</f>
      </c>
      <c r="N88" s="10">
        <f>IF(H88="","",H88-G88)</f>
      </c>
      <c r="O88" s="11">
        <f>IFERROR(N88/H88,"")</f>
      </c>
      <c r="P88" s="10">
        <f>IF($A88="","",IF(COUNTIF($A$3:$A88,$A88)=1,SUMIF(cobranza!$B$3:$B$1000,$A88,cobranza!$D$3:$D$1000),"↑"))</f>
      </c>
      <c r="Q88" s="10">
        <f>IF($A88="","",IF(COUNTIF($A$3:$A88,$A88)=1,SUMIFS($H$3:$H$1000,$A$3:$A$1000,$A88,$C$3:$C$1000,"&lt;&gt;Demo")-P88,"↑"))</f>
      </c>
      <c r="R88" s="13"/>
    </row>
    <row r="89" customFormat="false" ht="15" hidden="false" customHeight="false" outlineLevel="0" collapsed="false">
      <c r="A89" s="13"/>
      <c r="B89" s="14"/>
      <c r="C89" s="13"/>
      <c r="D89" s="13">
        <f>IF(AND($A89&lt;&gt;"",$A89=$A88),D88,"")</f>
      </c>
      <c r="E89" s="13"/>
      <c r="F89" s="13"/>
      <c r="G89" s="15"/>
      <c r="H89" s="15"/>
      <c r="I89" s="16"/>
      <c r="J89" s="13"/>
      <c r="K89" s="13">
        <f>IF(AND($A89&lt;&gt;"",$A89=$A88),K88,"")</f>
      </c>
      <c r="L89" s="13">
        <f>IF(AND($A89&lt;&gt;"",$A89=$A88),L88,"")</f>
      </c>
      <c r="M89" s="13">
        <f>IF(AND($A89&lt;&gt;"",$A89=$A88),M88,"")</f>
      </c>
      <c r="N89" s="10">
        <f>IF(H89="","",H89-G89)</f>
      </c>
      <c r="O89" s="11">
        <f>IFERROR(N89/H89,"")</f>
      </c>
      <c r="P89" s="10">
        <f>IF($A89="","",IF(COUNTIF($A$3:$A89,$A89)=1,SUMIF(cobranza!$B$3:$B$1000,$A89,cobranza!$D$3:$D$1000),"↑"))</f>
      </c>
      <c r="Q89" s="10">
        <f>IF($A89="","",IF(COUNTIF($A$3:$A89,$A89)=1,SUMIFS($H$3:$H$1000,$A$3:$A$1000,$A89,$C$3:$C$1000,"&lt;&gt;Demo")-P89,"↑"))</f>
      </c>
      <c r="R89" s="13"/>
    </row>
    <row r="90" customFormat="false" ht="15" hidden="false" customHeight="false" outlineLevel="0" collapsed="false">
      <c r="A90" s="13"/>
      <c r="B90" s="14"/>
      <c r="C90" s="13"/>
      <c r="D90" s="13">
        <f>IF(AND($A90&lt;&gt;"",$A90=$A89),D89,"")</f>
      </c>
      <c r="E90" s="13"/>
      <c r="F90" s="13"/>
      <c r="G90" s="15"/>
      <c r="H90" s="15"/>
      <c r="I90" s="16"/>
      <c r="J90" s="13"/>
      <c r="K90" s="13">
        <f>IF(AND($A90&lt;&gt;"",$A90=$A89),K89,"")</f>
      </c>
      <c r="L90" s="13">
        <f>IF(AND($A90&lt;&gt;"",$A90=$A89),L89,"")</f>
      </c>
      <c r="M90" s="13">
        <f>IF(AND($A90&lt;&gt;"",$A90=$A89),M89,"")</f>
      </c>
      <c r="N90" s="10">
        <f>IF(H90="","",H90-G90)</f>
      </c>
      <c r="O90" s="11">
        <f>IFERROR(N90/H90,"")</f>
      </c>
      <c r="P90" s="10">
        <f>IF($A90="","",IF(COUNTIF($A$3:$A90,$A90)=1,SUMIF(cobranza!$B$3:$B$1000,$A90,cobranza!$D$3:$D$1000),"↑"))</f>
      </c>
      <c r="Q90" s="10">
        <f>IF($A90="","",IF(COUNTIF($A$3:$A90,$A90)=1,SUMIFS($H$3:$H$1000,$A$3:$A$1000,$A90,$C$3:$C$1000,"&lt;&gt;Demo")-P90,"↑"))</f>
      </c>
      <c r="R90" s="13"/>
    </row>
    <row r="91" customFormat="false" ht="15" hidden="false" customHeight="false" outlineLevel="0" collapsed="false">
      <c r="A91" s="13"/>
      <c r="B91" s="14"/>
      <c r="C91" s="13"/>
      <c r="D91" s="13">
        <f>IF(AND($A91&lt;&gt;"",$A91=$A90),D90,"")</f>
      </c>
      <c r="E91" s="13"/>
      <c r="F91" s="13"/>
      <c r="G91" s="15"/>
      <c r="H91" s="15"/>
      <c r="I91" s="16"/>
      <c r="J91" s="13"/>
      <c r="K91" s="13">
        <f>IF(AND($A91&lt;&gt;"",$A91=$A90),K90,"")</f>
      </c>
      <c r="L91" s="13">
        <f>IF(AND($A91&lt;&gt;"",$A91=$A90),L90,"")</f>
      </c>
      <c r="M91" s="13">
        <f>IF(AND($A91&lt;&gt;"",$A91=$A90),M90,"")</f>
      </c>
      <c r="N91" s="10">
        <f>IF(H91="","",H91-G91)</f>
      </c>
      <c r="O91" s="11">
        <f>IFERROR(N91/H91,"")</f>
      </c>
      <c r="P91" s="10">
        <f>IF($A91="","",IF(COUNTIF($A$3:$A91,$A91)=1,SUMIF(cobranza!$B$3:$B$1000,$A91,cobranza!$D$3:$D$1000),"↑"))</f>
      </c>
      <c r="Q91" s="10">
        <f>IF($A91="","",IF(COUNTIF($A$3:$A91,$A91)=1,SUMIFS($H$3:$H$1000,$A$3:$A$1000,$A91,$C$3:$C$1000,"&lt;&gt;Demo")-P91,"↑"))</f>
      </c>
      <c r="R91" s="13"/>
    </row>
    <row r="92" customFormat="false" ht="15" hidden="false" customHeight="false" outlineLevel="0" collapsed="false">
      <c r="A92" s="13"/>
      <c r="B92" s="14"/>
      <c r="C92" s="13"/>
      <c r="D92" s="13">
        <f>IF(AND($A92&lt;&gt;"",$A92=$A91),D91,"")</f>
      </c>
      <c r="E92" s="13"/>
      <c r="F92" s="13"/>
      <c r="G92" s="15"/>
      <c r="H92" s="15"/>
      <c r="I92" s="16"/>
      <c r="J92" s="13"/>
      <c r="K92" s="13">
        <f>IF(AND($A92&lt;&gt;"",$A92=$A91),K91,"")</f>
      </c>
      <c r="L92" s="13">
        <f>IF(AND($A92&lt;&gt;"",$A92=$A91),L91,"")</f>
      </c>
      <c r="M92" s="13">
        <f>IF(AND($A92&lt;&gt;"",$A92=$A91),M91,"")</f>
      </c>
      <c r="N92" s="10">
        <f>IF(H92="","",H92-G92)</f>
      </c>
      <c r="O92" s="11">
        <f>IFERROR(N92/H92,"")</f>
      </c>
      <c r="P92" s="10">
        <f>IF($A92="","",IF(COUNTIF($A$3:$A92,$A92)=1,SUMIF(cobranza!$B$3:$B$1000,$A92,cobranza!$D$3:$D$1000),"↑"))</f>
      </c>
      <c r="Q92" s="10">
        <f>IF($A92="","",IF(COUNTIF($A$3:$A92,$A92)=1,SUMIFS($H$3:$H$1000,$A$3:$A$1000,$A92,$C$3:$C$1000,"&lt;&gt;Demo")-P92,"↑"))</f>
      </c>
      <c r="R92" s="13"/>
    </row>
    <row r="93" customFormat="false" ht="15" hidden="false" customHeight="false" outlineLevel="0" collapsed="false">
      <c r="A93" s="13"/>
      <c r="B93" s="14"/>
      <c r="C93" s="13"/>
      <c r="D93" s="13">
        <f>IF(AND($A93&lt;&gt;"",$A93=$A92),D92,"")</f>
      </c>
      <c r="E93" s="13"/>
      <c r="F93" s="13"/>
      <c r="G93" s="15"/>
      <c r="H93" s="15"/>
      <c r="I93" s="16"/>
      <c r="J93" s="13"/>
      <c r="K93" s="13">
        <f>IF(AND($A93&lt;&gt;"",$A93=$A92),K92,"")</f>
      </c>
      <c r="L93" s="13">
        <f>IF(AND($A93&lt;&gt;"",$A93=$A92),L92,"")</f>
      </c>
      <c r="M93" s="13">
        <f>IF(AND($A93&lt;&gt;"",$A93=$A92),M92,"")</f>
      </c>
      <c r="N93" s="10">
        <f>IF(H93="","",H93-G93)</f>
      </c>
      <c r="O93" s="11">
        <f>IFERROR(N93/H93,"")</f>
      </c>
      <c r="P93" s="10">
        <f>IF($A93="","",IF(COUNTIF($A$3:$A93,$A93)=1,SUMIF(cobranza!$B$3:$B$1000,$A93,cobranza!$D$3:$D$1000),"↑"))</f>
      </c>
      <c r="Q93" s="10">
        <f>IF($A93="","",IF(COUNTIF($A$3:$A93,$A93)=1,SUMIFS($H$3:$H$1000,$A$3:$A$1000,$A93,$C$3:$C$1000,"&lt;&gt;Demo")-P93,"↑"))</f>
      </c>
      <c r="R93" s="13"/>
    </row>
    <row r="94" customFormat="false" ht="15" hidden="false" customHeight="false" outlineLevel="0" collapsed="false">
      <c r="A94" s="13"/>
      <c r="B94" s="14"/>
      <c r="C94" s="13"/>
      <c r="D94" s="13">
        <f>IF(AND($A94&lt;&gt;"",$A94=$A93),D93,"")</f>
      </c>
      <c r="E94" s="13"/>
      <c r="F94" s="13"/>
      <c r="G94" s="15"/>
      <c r="H94" s="15"/>
      <c r="I94" s="16"/>
      <c r="J94" s="13"/>
      <c r="K94" s="13">
        <f>IF(AND($A94&lt;&gt;"",$A94=$A93),K93,"")</f>
      </c>
      <c r="L94" s="13">
        <f>IF(AND($A94&lt;&gt;"",$A94=$A93),L93,"")</f>
      </c>
      <c r="M94" s="13">
        <f>IF(AND($A94&lt;&gt;"",$A94=$A93),M93,"")</f>
      </c>
      <c r="N94" s="10">
        <f>IF(H94="","",H94-G94)</f>
      </c>
      <c r="O94" s="11">
        <f>IFERROR(N94/H94,"")</f>
      </c>
      <c r="P94" s="10">
        <f>IF($A94="","",IF(COUNTIF($A$3:$A94,$A94)=1,SUMIF(cobranza!$B$3:$B$1000,$A94,cobranza!$D$3:$D$1000),"↑"))</f>
      </c>
      <c r="Q94" s="10">
        <f>IF($A94="","",IF(COUNTIF($A$3:$A94,$A94)=1,SUMIFS($H$3:$H$1000,$A$3:$A$1000,$A94,$C$3:$C$1000,"&lt;&gt;Demo")-P94,"↑"))</f>
      </c>
      <c r="R94" s="13"/>
    </row>
    <row r="95" customFormat="false" ht="15" hidden="false" customHeight="false" outlineLevel="0" collapsed="false">
      <c r="A95" s="13"/>
      <c r="B95" s="14"/>
      <c r="C95" s="13"/>
      <c r="D95" s="13">
        <f>IF(AND($A95&lt;&gt;"",$A95=$A94),D94,"")</f>
      </c>
      <c r="E95" s="13"/>
      <c r="F95" s="13"/>
      <c r="G95" s="15"/>
      <c r="H95" s="15"/>
      <c r="I95" s="16"/>
      <c r="J95" s="13"/>
      <c r="K95" s="13">
        <f>IF(AND($A95&lt;&gt;"",$A95=$A94),K94,"")</f>
      </c>
      <c r="L95" s="13">
        <f>IF(AND($A95&lt;&gt;"",$A95=$A94),L94,"")</f>
      </c>
      <c r="M95" s="13">
        <f>IF(AND($A95&lt;&gt;"",$A95=$A94),M94,"")</f>
      </c>
      <c r="N95" s="10">
        <f>IF(H95="","",H95-G95)</f>
      </c>
      <c r="O95" s="11">
        <f>IFERROR(N95/H95,"")</f>
      </c>
      <c r="P95" s="10">
        <f>IF($A95="","",IF(COUNTIF($A$3:$A95,$A95)=1,SUMIF(cobranza!$B$3:$B$1000,$A95,cobranza!$D$3:$D$1000),"↑"))</f>
      </c>
      <c r="Q95" s="10">
        <f>IF($A95="","",IF(COUNTIF($A$3:$A95,$A95)=1,SUMIFS($H$3:$H$1000,$A$3:$A$1000,$A95,$C$3:$C$1000,"&lt;&gt;Demo")-P95,"↑"))</f>
      </c>
      <c r="R95" s="13"/>
    </row>
    <row r="96" customFormat="false" ht="15" hidden="false" customHeight="false" outlineLevel="0" collapsed="false">
      <c r="A96" s="13"/>
      <c r="B96" s="14"/>
      <c r="C96" s="13"/>
      <c r="D96" s="13">
        <f>IF(AND($A96&lt;&gt;"",$A96=$A95),D95,"")</f>
      </c>
      <c r="E96" s="13"/>
      <c r="F96" s="13"/>
      <c r="G96" s="15"/>
      <c r="H96" s="15"/>
      <c r="I96" s="16"/>
      <c r="J96" s="13"/>
      <c r="K96" s="13">
        <f>IF(AND($A96&lt;&gt;"",$A96=$A95),K95,"")</f>
      </c>
      <c r="L96" s="13">
        <f>IF(AND($A96&lt;&gt;"",$A96=$A95),L95,"")</f>
      </c>
      <c r="M96" s="13">
        <f>IF(AND($A96&lt;&gt;"",$A96=$A95),M95,"")</f>
      </c>
      <c r="N96" s="10">
        <f>IF(H96="","",H96-G96)</f>
      </c>
      <c r="O96" s="11">
        <f>IFERROR(N96/H96,"")</f>
      </c>
      <c r="P96" s="10">
        <f>IF($A96="","",IF(COUNTIF($A$3:$A96,$A96)=1,SUMIF(cobranza!$B$3:$B$1000,$A96,cobranza!$D$3:$D$1000),"↑"))</f>
      </c>
      <c r="Q96" s="10">
        <f>IF($A96="","",IF(COUNTIF($A$3:$A96,$A96)=1,SUMIFS($H$3:$H$1000,$A$3:$A$1000,$A96,$C$3:$C$1000,"&lt;&gt;Demo")-P96,"↑"))</f>
      </c>
      <c r="R96" s="13"/>
    </row>
    <row r="97" customFormat="false" ht="15" hidden="false" customHeight="false" outlineLevel="0" collapsed="false">
      <c r="A97" s="13"/>
      <c r="B97" s="14"/>
      <c r="C97" s="13"/>
      <c r="D97" s="13">
        <f>IF(AND($A97&lt;&gt;"",$A97=$A96),D96,"")</f>
      </c>
      <c r="E97" s="13"/>
      <c r="F97" s="13"/>
      <c r="G97" s="15"/>
      <c r="H97" s="15"/>
      <c r="I97" s="16"/>
      <c r="J97" s="13"/>
      <c r="K97" s="13">
        <f>IF(AND($A97&lt;&gt;"",$A97=$A96),K96,"")</f>
      </c>
      <c r="L97" s="13">
        <f>IF(AND($A97&lt;&gt;"",$A97=$A96),L96,"")</f>
      </c>
      <c r="M97" s="13">
        <f>IF(AND($A97&lt;&gt;"",$A97=$A96),M96,"")</f>
      </c>
      <c r="N97" s="10">
        <f>IF(H97="","",H97-G97)</f>
      </c>
      <c r="O97" s="11">
        <f>IFERROR(N97/H97,"")</f>
      </c>
      <c r="P97" s="10">
        <f>IF($A97="","",IF(COUNTIF($A$3:$A97,$A97)=1,SUMIF(cobranza!$B$3:$B$1000,$A97,cobranza!$D$3:$D$1000),"↑"))</f>
      </c>
      <c r="Q97" s="10">
        <f>IF($A97="","",IF(COUNTIF($A$3:$A97,$A97)=1,SUMIFS($H$3:$H$1000,$A$3:$A$1000,$A97,$C$3:$C$1000,"&lt;&gt;Demo")-P97,"↑"))</f>
      </c>
      <c r="R97" s="13"/>
    </row>
    <row r="98" customFormat="false" ht="15" hidden="false" customHeight="false" outlineLevel="0" collapsed="false">
      <c r="A98" s="13"/>
      <c r="B98" s="14"/>
      <c r="C98" s="13"/>
      <c r="D98" s="13">
        <f>IF(AND($A98&lt;&gt;"",$A98=$A97),D97,"")</f>
      </c>
      <c r="E98" s="13"/>
      <c r="F98" s="13"/>
      <c r="G98" s="15"/>
      <c r="H98" s="15"/>
      <c r="I98" s="16"/>
      <c r="J98" s="13"/>
      <c r="K98" s="13">
        <f>IF(AND($A98&lt;&gt;"",$A98=$A97),K97,"")</f>
      </c>
      <c r="L98" s="13">
        <f>IF(AND($A98&lt;&gt;"",$A98=$A97),L97,"")</f>
      </c>
      <c r="M98" s="13">
        <f>IF(AND($A98&lt;&gt;"",$A98=$A97),M97,"")</f>
      </c>
      <c r="N98" s="10">
        <f>IF(H98="","",H98-G98)</f>
      </c>
      <c r="O98" s="11">
        <f>IFERROR(N98/H98,"")</f>
      </c>
      <c r="P98" s="10">
        <f>IF($A98="","",IF(COUNTIF($A$3:$A98,$A98)=1,SUMIF(cobranza!$B$3:$B$1000,$A98,cobranza!$D$3:$D$1000),"↑"))</f>
      </c>
      <c r="Q98" s="10">
        <f>IF($A98="","",IF(COUNTIF($A$3:$A98,$A98)=1,SUMIFS($H$3:$H$1000,$A$3:$A$1000,$A98,$C$3:$C$1000,"&lt;&gt;Demo")-P98,"↑"))</f>
      </c>
      <c r="R98" s="13"/>
    </row>
    <row r="99" customFormat="false" ht="15" hidden="false" customHeight="false" outlineLevel="0" collapsed="false">
      <c r="A99" s="13"/>
      <c r="B99" s="14"/>
      <c r="C99" s="13"/>
      <c r="D99" s="13">
        <f>IF(AND($A99&lt;&gt;"",$A99=$A98),D98,"")</f>
      </c>
      <c r="E99" s="13"/>
      <c r="F99" s="13"/>
      <c r="G99" s="15"/>
      <c r="H99" s="15"/>
      <c r="I99" s="16"/>
      <c r="J99" s="13"/>
      <c r="K99" s="13">
        <f>IF(AND($A99&lt;&gt;"",$A99=$A98),K98,"")</f>
      </c>
      <c r="L99" s="13">
        <f>IF(AND($A99&lt;&gt;"",$A99=$A98),L98,"")</f>
      </c>
      <c r="M99" s="13">
        <f>IF(AND($A99&lt;&gt;"",$A99=$A98),M98,"")</f>
      </c>
      <c r="N99" s="10">
        <f>IF(H99="","",H99-G99)</f>
      </c>
      <c r="O99" s="11">
        <f>IFERROR(N99/H99,"")</f>
      </c>
      <c r="P99" s="10">
        <f>IF($A99="","",IF(COUNTIF($A$3:$A99,$A99)=1,SUMIF(cobranza!$B$3:$B$1000,$A99,cobranza!$D$3:$D$1000),"↑"))</f>
      </c>
      <c r="Q99" s="10">
        <f>IF($A99="","",IF(COUNTIF($A$3:$A99,$A99)=1,SUMIFS($H$3:$H$1000,$A$3:$A$1000,$A99,$C$3:$C$1000,"&lt;&gt;Demo")-P99,"↑"))</f>
      </c>
      <c r="R99" s="13"/>
    </row>
    <row r="100" customFormat="false" ht="15" hidden="false" customHeight="false" outlineLevel="0" collapsed="false">
      <c r="A100" s="13"/>
      <c r="B100" s="14"/>
      <c r="C100" s="13"/>
      <c r="D100" s="13">
        <f>IF(AND($A100&lt;&gt;"",$A100=$A99),D99,"")</f>
      </c>
      <c r="E100" s="13"/>
      <c r="F100" s="13"/>
      <c r="G100" s="15"/>
      <c r="H100" s="15"/>
      <c r="I100" s="16"/>
      <c r="J100" s="13"/>
      <c r="K100" s="13">
        <f>IF(AND($A100&lt;&gt;"",$A100=$A99),K99,"")</f>
      </c>
      <c r="L100" s="13">
        <f>IF(AND($A100&lt;&gt;"",$A100=$A99),L99,"")</f>
      </c>
      <c r="M100" s="13">
        <f>IF(AND($A100&lt;&gt;"",$A100=$A99),M99,"")</f>
      </c>
      <c r="N100" s="10">
        <f>IF(H100="","",H100-G100)</f>
      </c>
      <c r="O100" s="11">
        <f>IFERROR(N100/H100,"")</f>
      </c>
      <c r="P100" s="10">
        <f>IF($A100="","",IF(COUNTIF($A$3:$A100,$A100)=1,SUMIF(cobranza!$B$3:$B$1000,$A100,cobranza!$D$3:$D$1000),"↑"))</f>
      </c>
      <c r="Q100" s="10">
        <f>IF($A100="","",IF(COUNTIF($A$3:$A100,$A100)=1,SUMIFS($H$3:$H$1000,$A$3:$A$1000,$A100,$C$3:$C$1000,"&lt;&gt;Demo")-P100,"↑"))</f>
      </c>
      <c r="R100" s="13"/>
    </row>
    <row r="101" customFormat="false" ht="15" hidden="false" customHeight="false" outlineLevel="0" collapsed="false">
      <c r="A101" s="13"/>
      <c r="B101" s="14"/>
      <c r="C101" s="13"/>
      <c r="D101" s="13">
        <f>IF(AND($A101&lt;&gt;"",$A101=$A100),D100,"")</f>
      </c>
      <c r="E101" s="13"/>
      <c r="F101" s="13"/>
      <c r="G101" s="15"/>
      <c r="H101" s="15"/>
      <c r="I101" s="16"/>
      <c r="J101" s="13"/>
      <c r="K101" s="13">
        <f>IF(AND($A101&lt;&gt;"",$A101=$A100),K100,"")</f>
      </c>
      <c r="L101" s="13">
        <f>IF(AND($A101&lt;&gt;"",$A101=$A100),L100,"")</f>
      </c>
      <c r="M101" s="13">
        <f>IF(AND($A101&lt;&gt;"",$A101=$A100),M100,"")</f>
      </c>
      <c r="N101" s="10">
        <f>IF(H101="","",H101-G101)</f>
      </c>
      <c r="O101" s="11">
        <f>IFERROR(N101/H101,"")</f>
      </c>
      <c r="P101" s="10">
        <f>IF($A101="","",IF(COUNTIF($A$3:$A101,$A101)=1,SUMIF(cobranza!$B$3:$B$1000,$A101,cobranza!$D$3:$D$1000),"↑"))</f>
      </c>
      <c r="Q101" s="10">
        <f>IF($A101="","",IF(COUNTIF($A$3:$A101,$A101)=1,SUMIFS($H$3:$H$1000,$A$3:$A$1000,$A101,$C$3:$C$1000,"&lt;&gt;Demo")-P101,"↑"))</f>
      </c>
      <c r="R101" s="13"/>
    </row>
    <row r="102" customFormat="false" ht="15" hidden="false" customHeight="false" outlineLevel="0" collapsed="false">
      <c r="A102" s="13"/>
      <c r="B102" s="14"/>
      <c r="C102" s="13"/>
      <c r="D102" s="13">
        <f>IF(AND($A102&lt;&gt;"",$A102=$A101),D101,"")</f>
      </c>
      <c r="E102" s="13"/>
      <c r="F102" s="13"/>
      <c r="G102" s="15"/>
      <c r="H102" s="15"/>
      <c r="I102" s="16"/>
      <c r="J102" s="13"/>
      <c r="K102" s="13">
        <f>IF(AND($A102&lt;&gt;"",$A102=$A101),K101,"")</f>
      </c>
      <c r="L102" s="13">
        <f>IF(AND($A102&lt;&gt;"",$A102=$A101),L101,"")</f>
      </c>
      <c r="M102" s="13">
        <f>IF(AND($A102&lt;&gt;"",$A102=$A101),M101,"")</f>
      </c>
      <c r="N102" s="10">
        <f>IF(H102="","",H102-G102)</f>
      </c>
      <c r="O102" s="11">
        <f>IFERROR(N102/H102,"")</f>
      </c>
      <c r="P102" s="10">
        <f>IF($A102="","",IF(COUNTIF($A$3:$A102,$A102)=1,SUMIF(cobranza!$B$3:$B$1000,$A102,cobranza!$D$3:$D$1000),"↑"))</f>
      </c>
      <c r="Q102" s="10">
        <f>IF($A102="","",IF(COUNTIF($A$3:$A102,$A102)=1,SUMIFS($H$3:$H$1000,$A$3:$A$1000,$A102,$C$3:$C$1000,"&lt;&gt;Demo")-P102,"↑"))</f>
      </c>
      <c r="R102" s="13"/>
    </row>
    <row r="103" customFormat="false" ht="15" hidden="false" customHeight="false" outlineLevel="0" collapsed="false">
      <c r="A103" s="13"/>
      <c r="B103" s="14"/>
      <c r="C103" s="13"/>
      <c r="D103" s="13">
        <f>IF(AND($A103&lt;&gt;"",$A103=$A102),D102,"")</f>
      </c>
      <c r="E103" s="13"/>
      <c r="F103" s="13"/>
      <c r="G103" s="15"/>
      <c r="H103" s="15"/>
      <c r="I103" s="16"/>
      <c r="J103" s="13"/>
      <c r="K103" s="13">
        <f>IF(AND($A103&lt;&gt;"",$A103=$A102),K102,"")</f>
      </c>
      <c r="L103" s="13">
        <f>IF(AND($A103&lt;&gt;"",$A103=$A102),L102,"")</f>
      </c>
      <c r="M103" s="13">
        <f>IF(AND($A103&lt;&gt;"",$A103=$A102),M102,"")</f>
      </c>
      <c r="N103" s="10">
        <f>IF(H103="","",H103-G103)</f>
      </c>
      <c r="O103" s="11">
        <f>IFERROR(N103/H103,"")</f>
      </c>
      <c r="P103" s="10">
        <f>IF($A103="","",IF(COUNTIF($A$3:$A103,$A103)=1,SUMIF(cobranza!$B$3:$B$1000,$A103,cobranza!$D$3:$D$1000),"↑"))</f>
      </c>
      <c r="Q103" s="10">
        <f>IF($A103="","",IF(COUNTIF($A$3:$A103,$A103)=1,SUMIFS($H$3:$H$1000,$A$3:$A$1000,$A103,$C$3:$C$1000,"&lt;&gt;Demo")-P103,"↑"))</f>
      </c>
      <c r="R103" s="13"/>
    </row>
    <row r="104" customFormat="false" ht="15" hidden="false" customHeight="false" outlineLevel="0" collapsed="false">
      <c r="A104" s="13"/>
      <c r="B104" s="14"/>
      <c r="C104" s="13"/>
      <c r="D104" s="13">
        <f>IF(AND($A104&lt;&gt;"",$A104=$A103),D103,"")</f>
      </c>
      <c r="E104" s="13"/>
      <c r="F104" s="13"/>
      <c r="G104" s="15"/>
      <c r="H104" s="15"/>
      <c r="I104" s="16"/>
      <c r="J104" s="13"/>
      <c r="K104" s="13">
        <f>IF(AND($A104&lt;&gt;"",$A104=$A103),K103,"")</f>
      </c>
      <c r="L104" s="13">
        <f>IF(AND($A104&lt;&gt;"",$A104=$A103),L103,"")</f>
      </c>
      <c r="M104" s="13">
        <f>IF(AND($A104&lt;&gt;"",$A104=$A103),M103,"")</f>
      </c>
      <c r="N104" s="10">
        <f>IF(H104="","",H104-G104)</f>
      </c>
      <c r="O104" s="11">
        <f>IFERROR(N104/H104,"")</f>
      </c>
      <c r="P104" s="10">
        <f>IF($A104="","",IF(COUNTIF($A$3:$A104,$A104)=1,SUMIF(cobranza!$B$3:$B$1000,$A104,cobranza!$D$3:$D$1000),"↑"))</f>
      </c>
      <c r="Q104" s="10">
        <f>IF($A104="","",IF(COUNTIF($A$3:$A104,$A104)=1,SUMIFS($H$3:$H$1000,$A$3:$A$1000,$A104,$C$3:$C$1000,"&lt;&gt;Demo")-P104,"↑"))</f>
      </c>
      <c r="R104" s="13"/>
    </row>
    <row r="105" customFormat="false" ht="15" hidden="false" customHeight="false" outlineLevel="0" collapsed="false">
      <c r="A105" s="13"/>
      <c r="B105" s="14"/>
      <c r="C105" s="13"/>
      <c r="D105" s="13">
        <f>IF(AND($A105&lt;&gt;"",$A105=$A104),D104,"")</f>
      </c>
      <c r="E105" s="13"/>
      <c r="F105" s="13"/>
      <c r="G105" s="15"/>
      <c r="H105" s="15"/>
      <c r="I105" s="16"/>
      <c r="J105" s="13"/>
      <c r="K105" s="13">
        <f>IF(AND($A105&lt;&gt;"",$A105=$A104),K104,"")</f>
      </c>
      <c r="L105" s="13">
        <f>IF(AND($A105&lt;&gt;"",$A105=$A104),L104,"")</f>
      </c>
      <c r="M105" s="13">
        <f>IF(AND($A105&lt;&gt;"",$A105=$A104),M104,"")</f>
      </c>
      <c r="N105" s="10">
        <f>IF(H105="","",H105-G105)</f>
      </c>
      <c r="O105" s="11">
        <f>IFERROR(N105/H105,"")</f>
      </c>
      <c r="P105" s="10">
        <f>IF($A105="","",IF(COUNTIF($A$3:$A105,$A105)=1,SUMIF(cobranza!$B$3:$B$1000,$A105,cobranza!$D$3:$D$1000),"↑"))</f>
      </c>
      <c r="Q105" s="10">
        <f>IF($A105="","",IF(COUNTIF($A$3:$A105,$A105)=1,SUMIFS($H$3:$H$1000,$A$3:$A$1000,$A105,$C$3:$C$1000,"&lt;&gt;Demo")-P105,"↑"))</f>
      </c>
      <c r="R105" s="13"/>
    </row>
    <row r="106" customFormat="false" ht="15" hidden="false" customHeight="false" outlineLevel="0" collapsed="false">
      <c r="A106" s="13"/>
      <c r="B106" s="14"/>
      <c r="C106" s="13"/>
      <c r="D106" s="13">
        <f>IF(AND($A106&lt;&gt;"",$A106=$A105),D105,"")</f>
      </c>
      <c r="E106" s="13"/>
      <c r="F106" s="13"/>
      <c r="G106" s="15"/>
      <c r="H106" s="15"/>
      <c r="I106" s="16"/>
      <c r="J106" s="13"/>
      <c r="K106" s="13">
        <f>IF(AND($A106&lt;&gt;"",$A106=$A105),K105,"")</f>
      </c>
      <c r="L106" s="13">
        <f>IF(AND($A106&lt;&gt;"",$A106=$A105),L105,"")</f>
      </c>
      <c r="M106" s="13">
        <f>IF(AND($A106&lt;&gt;"",$A106=$A105),M105,"")</f>
      </c>
      <c r="N106" s="10">
        <f>IF(H106="","",H106-G106)</f>
      </c>
      <c r="O106" s="11">
        <f>IFERROR(N106/H106,"")</f>
      </c>
      <c r="P106" s="10">
        <f>IF($A106="","",IF(COUNTIF($A$3:$A106,$A106)=1,SUMIF(cobranza!$B$3:$B$1000,$A106,cobranza!$D$3:$D$1000),"↑"))</f>
      </c>
      <c r="Q106" s="10">
        <f>IF($A106="","",IF(COUNTIF($A$3:$A106,$A106)=1,SUMIFS($H$3:$H$1000,$A$3:$A$1000,$A106,$C$3:$C$1000,"&lt;&gt;Demo")-P106,"↑"))</f>
      </c>
      <c r="R106" s="13"/>
    </row>
    <row r="107" customFormat="false" ht="15" hidden="false" customHeight="false" outlineLevel="0" collapsed="false">
      <c r="A107" s="13"/>
      <c r="B107" s="14"/>
      <c r="C107" s="13"/>
      <c r="D107" s="13">
        <f>IF(AND($A107&lt;&gt;"",$A107=$A106),D106,"")</f>
      </c>
      <c r="E107" s="13"/>
      <c r="F107" s="13"/>
      <c r="G107" s="15"/>
      <c r="H107" s="15"/>
      <c r="I107" s="16"/>
      <c r="J107" s="13"/>
      <c r="K107" s="13">
        <f>IF(AND($A107&lt;&gt;"",$A107=$A106),K106,"")</f>
      </c>
      <c r="L107" s="13">
        <f>IF(AND($A107&lt;&gt;"",$A107=$A106),L106,"")</f>
      </c>
      <c r="M107" s="13">
        <f>IF(AND($A107&lt;&gt;"",$A107=$A106),M106,"")</f>
      </c>
      <c r="N107" s="10">
        <f>IF(H107="","",H107-G107)</f>
      </c>
      <c r="O107" s="11">
        <f>IFERROR(N107/H107,"")</f>
      </c>
      <c r="P107" s="10">
        <f>IF($A107="","",IF(COUNTIF($A$3:$A107,$A107)=1,SUMIF(cobranza!$B$3:$B$1000,$A107,cobranza!$D$3:$D$1000),"↑"))</f>
      </c>
      <c r="Q107" s="10">
        <f>IF($A107="","",IF(COUNTIF($A$3:$A107,$A107)=1,SUMIFS($H$3:$H$1000,$A$3:$A$1000,$A107,$C$3:$C$1000,"&lt;&gt;Demo")-P107,"↑"))</f>
      </c>
      <c r="R107" s="13"/>
    </row>
    <row r="108" customFormat="false" ht="15" hidden="false" customHeight="false" outlineLevel="0" collapsed="false">
      <c r="A108" s="13"/>
      <c r="B108" s="14"/>
      <c r="C108" s="13"/>
      <c r="D108" s="13">
        <f>IF(AND($A108&lt;&gt;"",$A108=$A107),D107,"")</f>
      </c>
      <c r="E108" s="13"/>
      <c r="F108" s="13"/>
      <c r="G108" s="15"/>
      <c r="H108" s="15"/>
      <c r="I108" s="16"/>
      <c r="J108" s="13"/>
      <c r="K108" s="13">
        <f>IF(AND($A108&lt;&gt;"",$A108=$A107),K107,"")</f>
      </c>
      <c r="L108" s="13">
        <f>IF(AND($A108&lt;&gt;"",$A108=$A107),L107,"")</f>
      </c>
      <c r="M108" s="13">
        <f>IF(AND($A108&lt;&gt;"",$A108=$A107),M107,"")</f>
      </c>
      <c r="N108" s="10">
        <f>IF(H108="","",H108-G108)</f>
      </c>
      <c r="O108" s="11">
        <f>IFERROR(N108/H108,"")</f>
      </c>
      <c r="P108" s="10">
        <f>IF($A108="","",IF(COUNTIF($A$3:$A108,$A108)=1,SUMIF(cobranza!$B$3:$B$1000,$A108,cobranza!$D$3:$D$1000),"↑"))</f>
      </c>
      <c r="Q108" s="10">
        <f>IF($A108="","",IF(COUNTIF($A$3:$A108,$A108)=1,SUMIFS($H$3:$H$1000,$A$3:$A$1000,$A108,$C$3:$C$1000,"&lt;&gt;Demo")-P108,"↑"))</f>
      </c>
      <c r="R108" s="13"/>
    </row>
    <row r="109" customFormat="false" ht="15" hidden="false" customHeight="false" outlineLevel="0" collapsed="false">
      <c r="A109" s="13"/>
      <c r="B109" s="14"/>
      <c r="C109" s="13"/>
      <c r="D109" s="13">
        <f>IF(AND($A109&lt;&gt;"",$A109=$A108),D108,"")</f>
      </c>
      <c r="E109" s="13"/>
      <c r="F109" s="13"/>
      <c r="G109" s="15"/>
      <c r="H109" s="15"/>
      <c r="I109" s="16"/>
      <c r="J109" s="13"/>
      <c r="K109" s="13">
        <f>IF(AND($A109&lt;&gt;"",$A109=$A108),K108,"")</f>
      </c>
      <c r="L109" s="13">
        <f>IF(AND($A109&lt;&gt;"",$A109=$A108),L108,"")</f>
      </c>
      <c r="M109" s="13">
        <f>IF(AND($A109&lt;&gt;"",$A109=$A108),M108,"")</f>
      </c>
      <c r="N109" s="10">
        <f>IF(H109="","",H109-G109)</f>
      </c>
      <c r="O109" s="11">
        <f>IFERROR(N109/H109,"")</f>
      </c>
      <c r="P109" s="10">
        <f>IF($A109="","",IF(COUNTIF($A$3:$A109,$A109)=1,SUMIF(cobranza!$B$3:$B$1000,$A109,cobranza!$D$3:$D$1000),"↑"))</f>
      </c>
      <c r="Q109" s="10">
        <f>IF($A109="","",IF(COUNTIF($A$3:$A109,$A109)=1,SUMIFS($H$3:$H$1000,$A$3:$A$1000,$A109,$C$3:$C$1000,"&lt;&gt;Demo")-P109,"↑"))</f>
      </c>
      <c r="R109" s="13"/>
    </row>
    <row r="110" customFormat="false" ht="15" hidden="false" customHeight="false" outlineLevel="0" collapsed="false">
      <c r="A110" s="13"/>
      <c r="B110" s="14"/>
      <c r="C110" s="13"/>
      <c r="D110" s="13">
        <f>IF(AND($A110&lt;&gt;"",$A110=$A109),D109,"")</f>
      </c>
      <c r="E110" s="13"/>
      <c r="F110" s="13"/>
      <c r="G110" s="15"/>
      <c r="H110" s="15"/>
      <c r="I110" s="16"/>
      <c r="J110" s="13"/>
      <c r="K110" s="13">
        <f>IF(AND($A110&lt;&gt;"",$A110=$A109),K109,"")</f>
      </c>
      <c r="L110" s="13">
        <f>IF(AND($A110&lt;&gt;"",$A110=$A109),L109,"")</f>
      </c>
      <c r="M110" s="13">
        <f>IF(AND($A110&lt;&gt;"",$A110=$A109),M109,"")</f>
      </c>
      <c r="N110" s="10">
        <f>IF(H110="","",H110-G110)</f>
      </c>
      <c r="O110" s="11">
        <f>IFERROR(N110/H110,"")</f>
      </c>
      <c r="P110" s="10">
        <f>IF($A110="","",IF(COUNTIF($A$3:$A110,$A110)=1,SUMIF(cobranza!$B$3:$B$1000,$A110,cobranza!$D$3:$D$1000),"↑"))</f>
      </c>
      <c r="Q110" s="10">
        <f>IF($A110="","",IF(COUNTIF($A$3:$A110,$A110)=1,SUMIFS($H$3:$H$1000,$A$3:$A$1000,$A110,$C$3:$C$1000,"&lt;&gt;Demo")-P110,"↑"))</f>
      </c>
      <c r="R110" s="13"/>
    </row>
    <row r="111" customFormat="false" ht="15" hidden="false" customHeight="false" outlineLevel="0" collapsed="false">
      <c r="A111" s="13"/>
      <c r="B111" s="14"/>
      <c r="C111" s="13"/>
      <c r="D111" s="13">
        <f>IF(AND($A111&lt;&gt;"",$A111=$A110),D110,"")</f>
      </c>
      <c r="E111" s="13"/>
      <c r="F111" s="13"/>
      <c r="G111" s="15"/>
      <c r="H111" s="15"/>
      <c r="I111" s="16"/>
      <c r="J111" s="13"/>
      <c r="K111" s="13">
        <f>IF(AND($A111&lt;&gt;"",$A111=$A110),K110,"")</f>
      </c>
      <c r="L111" s="13">
        <f>IF(AND($A111&lt;&gt;"",$A111=$A110),L110,"")</f>
      </c>
      <c r="M111" s="13">
        <f>IF(AND($A111&lt;&gt;"",$A111=$A110),M110,"")</f>
      </c>
      <c r="N111" s="10">
        <f>IF(H111="","",H111-G111)</f>
      </c>
      <c r="O111" s="11">
        <f>IFERROR(N111/H111,"")</f>
      </c>
      <c r="P111" s="10">
        <f>IF($A111="","",IF(COUNTIF($A$3:$A111,$A111)=1,SUMIF(cobranza!$B$3:$B$1000,$A111,cobranza!$D$3:$D$1000),"↑"))</f>
      </c>
      <c r="Q111" s="10">
        <f>IF($A111="","",IF(COUNTIF($A$3:$A111,$A111)=1,SUMIFS($H$3:$H$1000,$A$3:$A$1000,$A111,$C$3:$C$1000,"&lt;&gt;Demo")-P111,"↑"))</f>
      </c>
      <c r="R111" s="13"/>
    </row>
    <row r="112" customFormat="false" ht="15" hidden="false" customHeight="false" outlineLevel="0" collapsed="false">
      <c r="A112" s="13"/>
      <c r="B112" s="14"/>
      <c r="C112" s="13"/>
      <c r="D112" s="13">
        <f>IF(AND($A112&lt;&gt;"",$A112=$A111),D111,"")</f>
      </c>
      <c r="E112" s="13"/>
      <c r="F112" s="13"/>
      <c r="G112" s="15"/>
      <c r="H112" s="15"/>
      <c r="I112" s="16"/>
      <c r="J112" s="13"/>
      <c r="K112" s="13">
        <f>IF(AND($A112&lt;&gt;"",$A112=$A111),K111,"")</f>
      </c>
      <c r="L112" s="13">
        <f>IF(AND($A112&lt;&gt;"",$A112=$A111),L111,"")</f>
      </c>
      <c r="M112" s="13">
        <f>IF(AND($A112&lt;&gt;"",$A112=$A111),M111,"")</f>
      </c>
      <c r="N112" s="10">
        <f>IF(H112="","",H112-G112)</f>
      </c>
      <c r="O112" s="11">
        <f>IFERROR(N112/H112,"")</f>
      </c>
      <c r="P112" s="10">
        <f>IF($A112="","",IF(COUNTIF($A$3:$A112,$A112)=1,SUMIF(cobranza!$B$3:$B$1000,$A112,cobranza!$D$3:$D$1000),"↑"))</f>
      </c>
      <c r="Q112" s="10">
        <f>IF($A112="","",IF(COUNTIF($A$3:$A112,$A112)=1,SUMIFS($H$3:$H$1000,$A$3:$A$1000,$A112,$C$3:$C$1000,"&lt;&gt;Demo")-P112,"↑"))</f>
      </c>
      <c r="R112" s="13"/>
    </row>
    <row r="113" customFormat="false" ht="15" hidden="false" customHeight="false" outlineLevel="0" collapsed="false">
      <c r="A113" s="13"/>
      <c r="B113" s="14"/>
      <c r="C113" s="13"/>
      <c r="D113" s="13">
        <f>IF(AND($A113&lt;&gt;"",$A113=$A112),D112,"")</f>
      </c>
      <c r="E113" s="13"/>
      <c r="F113" s="13"/>
      <c r="G113" s="15"/>
      <c r="H113" s="15"/>
      <c r="I113" s="16"/>
      <c r="J113" s="13"/>
      <c r="K113" s="13">
        <f>IF(AND($A113&lt;&gt;"",$A113=$A112),K112,"")</f>
      </c>
      <c r="L113" s="13">
        <f>IF(AND($A113&lt;&gt;"",$A113=$A112),L112,"")</f>
      </c>
      <c r="M113" s="13">
        <f>IF(AND($A113&lt;&gt;"",$A113=$A112),M112,"")</f>
      </c>
      <c r="N113" s="10">
        <f>IF(H113="","",H113-G113)</f>
      </c>
      <c r="O113" s="11">
        <f>IFERROR(N113/H113,"")</f>
      </c>
      <c r="P113" s="10">
        <f>IF($A113="","",IF(COUNTIF($A$3:$A113,$A113)=1,SUMIF(cobranza!$B$3:$B$1000,$A113,cobranza!$D$3:$D$1000),"↑"))</f>
      </c>
      <c r="Q113" s="10">
        <f>IF($A113="","",IF(COUNTIF($A$3:$A113,$A113)=1,SUMIFS($H$3:$H$1000,$A$3:$A$1000,$A113,$C$3:$C$1000,"&lt;&gt;Demo")-P113,"↑"))</f>
      </c>
      <c r="R113" s="13"/>
    </row>
    <row r="114" customFormat="false" ht="15" hidden="false" customHeight="false" outlineLevel="0" collapsed="false">
      <c r="A114" s="13"/>
      <c r="B114" s="14"/>
      <c r="C114" s="13"/>
      <c r="D114" s="13">
        <f>IF(AND($A114&lt;&gt;"",$A114=$A113),D113,"")</f>
      </c>
      <c r="E114" s="13"/>
      <c r="F114" s="13"/>
      <c r="G114" s="15"/>
      <c r="H114" s="15"/>
      <c r="I114" s="16"/>
      <c r="J114" s="13"/>
      <c r="K114" s="13">
        <f>IF(AND($A114&lt;&gt;"",$A114=$A113),K113,"")</f>
      </c>
      <c r="L114" s="13">
        <f>IF(AND($A114&lt;&gt;"",$A114=$A113),L113,"")</f>
      </c>
      <c r="M114" s="13">
        <f>IF(AND($A114&lt;&gt;"",$A114=$A113),M113,"")</f>
      </c>
      <c r="N114" s="10">
        <f>IF(H114="","",H114-G114)</f>
      </c>
      <c r="O114" s="11">
        <f>IFERROR(N114/H114,"")</f>
      </c>
      <c r="P114" s="10">
        <f>IF($A114="","",IF(COUNTIF($A$3:$A114,$A114)=1,SUMIF(cobranza!$B$3:$B$1000,$A114,cobranza!$D$3:$D$1000),"↑"))</f>
      </c>
      <c r="Q114" s="10">
        <f>IF($A114="","",IF(COUNTIF($A$3:$A114,$A114)=1,SUMIFS($H$3:$H$1000,$A$3:$A$1000,$A114,$C$3:$C$1000,"&lt;&gt;Demo")-P114,"↑"))</f>
      </c>
      <c r="R114" s="13"/>
    </row>
    <row r="115" customFormat="false" ht="15" hidden="false" customHeight="false" outlineLevel="0" collapsed="false">
      <c r="A115" s="13"/>
      <c r="B115" s="14"/>
      <c r="C115" s="13"/>
      <c r="D115" s="13">
        <f>IF(AND($A115&lt;&gt;"",$A115=$A114),D114,"")</f>
      </c>
      <c r="E115" s="13"/>
      <c r="F115" s="13"/>
      <c r="G115" s="15"/>
      <c r="H115" s="15"/>
      <c r="I115" s="16"/>
      <c r="J115" s="13"/>
      <c r="K115" s="13">
        <f>IF(AND($A115&lt;&gt;"",$A115=$A114),K114,"")</f>
      </c>
      <c r="L115" s="13">
        <f>IF(AND($A115&lt;&gt;"",$A115=$A114),L114,"")</f>
      </c>
      <c r="M115" s="13">
        <f>IF(AND($A115&lt;&gt;"",$A115=$A114),M114,"")</f>
      </c>
      <c r="N115" s="10">
        <f>IF(H115="","",H115-G115)</f>
      </c>
      <c r="O115" s="11">
        <f>IFERROR(N115/H115,"")</f>
      </c>
      <c r="P115" s="10">
        <f>IF($A115="","",IF(COUNTIF($A$3:$A115,$A115)=1,SUMIF(cobranza!$B$3:$B$1000,$A115,cobranza!$D$3:$D$1000),"↑"))</f>
      </c>
      <c r="Q115" s="10">
        <f>IF($A115="","",IF(COUNTIF($A$3:$A115,$A115)=1,SUMIFS($H$3:$H$1000,$A$3:$A$1000,$A115,$C$3:$C$1000,"&lt;&gt;Demo")-P115,"↑"))</f>
      </c>
      <c r="R115" s="13"/>
    </row>
    <row r="116" customFormat="false" ht="15" hidden="false" customHeight="false" outlineLevel="0" collapsed="false">
      <c r="A116" s="13"/>
      <c r="B116" s="14"/>
      <c r="C116" s="13"/>
      <c r="D116" s="13">
        <f>IF(AND($A116&lt;&gt;"",$A116=$A115),D115,"")</f>
      </c>
      <c r="E116" s="13"/>
      <c r="F116" s="13"/>
      <c r="G116" s="15"/>
      <c r="H116" s="15"/>
      <c r="I116" s="16"/>
      <c r="J116" s="13"/>
      <c r="K116" s="13">
        <f>IF(AND($A116&lt;&gt;"",$A116=$A115),K115,"")</f>
      </c>
      <c r="L116" s="13">
        <f>IF(AND($A116&lt;&gt;"",$A116=$A115),L115,"")</f>
      </c>
      <c r="M116" s="13">
        <f>IF(AND($A116&lt;&gt;"",$A116=$A115),M115,"")</f>
      </c>
      <c r="N116" s="10">
        <f>IF(H116="","",H116-G116)</f>
      </c>
      <c r="O116" s="11">
        <f>IFERROR(N116/H116,"")</f>
      </c>
      <c r="P116" s="10">
        <f>IF($A116="","",IF(COUNTIF($A$3:$A116,$A116)=1,SUMIF(cobranza!$B$3:$B$1000,$A116,cobranza!$D$3:$D$1000),"↑"))</f>
      </c>
      <c r="Q116" s="10">
        <f>IF($A116="","",IF(COUNTIF($A$3:$A116,$A116)=1,SUMIFS($H$3:$H$1000,$A$3:$A$1000,$A116,$C$3:$C$1000,"&lt;&gt;Demo")-P116,"↑"))</f>
      </c>
      <c r="R116" s="13"/>
    </row>
    <row r="117" customFormat="false" ht="15" hidden="false" customHeight="false" outlineLevel="0" collapsed="false">
      <c r="A117" s="13"/>
      <c r="B117" s="14"/>
      <c r="C117" s="13"/>
      <c r="D117" s="13">
        <f>IF(AND($A117&lt;&gt;"",$A117=$A116),D116,"")</f>
      </c>
      <c r="E117" s="13"/>
      <c r="F117" s="13"/>
      <c r="G117" s="15"/>
      <c r="H117" s="15"/>
      <c r="I117" s="16"/>
      <c r="J117" s="13"/>
      <c r="K117" s="13">
        <f>IF(AND($A117&lt;&gt;"",$A117=$A116),K116,"")</f>
      </c>
      <c r="L117" s="13">
        <f>IF(AND($A117&lt;&gt;"",$A117=$A116),L116,"")</f>
      </c>
      <c r="M117" s="13">
        <f>IF(AND($A117&lt;&gt;"",$A117=$A116),M116,"")</f>
      </c>
      <c r="N117" s="10">
        <f>IF(H117="","",H117-G117)</f>
      </c>
      <c r="O117" s="11">
        <f>IFERROR(N117/H117,"")</f>
      </c>
      <c r="P117" s="10">
        <f>IF($A117="","",IF(COUNTIF($A$3:$A117,$A117)=1,SUMIF(cobranza!$B$3:$B$1000,$A117,cobranza!$D$3:$D$1000),"↑"))</f>
      </c>
      <c r="Q117" s="10">
        <f>IF($A117="","",IF(COUNTIF($A$3:$A117,$A117)=1,SUMIFS($H$3:$H$1000,$A$3:$A$1000,$A117,$C$3:$C$1000,"&lt;&gt;Demo")-P117,"↑"))</f>
      </c>
      <c r="R117" s="13"/>
    </row>
    <row r="118" customFormat="false" ht="15" hidden="false" customHeight="false" outlineLevel="0" collapsed="false">
      <c r="A118" s="13"/>
      <c r="B118" s="14"/>
      <c r="C118" s="13"/>
      <c r="D118" s="13">
        <f>IF(AND($A118&lt;&gt;"",$A118=$A117),D117,"")</f>
      </c>
      <c r="E118" s="13"/>
      <c r="F118" s="13"/>
      <c r="G118" s="15"/>
      <c r="H118" s="15"/>
      <c r="I118" s="16"/>
      <c r="J118" s="13"/>
      <c r="K118" s="13">
        <f>IF(AND($A118&lt;&gt;"",$A118=$A117),K117,"")</f>
      </c>
      <c r="L118" s="13">
        <f>IF(AND($A118&lt;&gt;"",$A118=$A117),L117,"")</f>
      </c>
      <c r="M118" s="13">
        <f>IF(AND($A118&lt;&gt;"",$A118=$A117),M117,"")</f>
      </c>
      <c r="N118" s="10">
        <f>IF(H118="","",H118-G118)</f>
      </c>
      <c r="O118" s="11">
        <f>IFERROR(N118/H118,"")</f>
      </c>
      <c r="P118" s="10">
        <f>IF($A118="","",IF(COUNTIF($A$3:$A118,$A118)=1,SUMIF(cobranza!$B$3:$B$1000,$A118,cobranza!$D$3:$D$1000),"↑"))</f>
      </c>
      <c r="Q118" s="10">
        <f>IF($A118="","",IF(COUNTIF($A$3:$A118,$A118)=1,SUMIFS($H$3:$H$1000,$A$3:$A$1000,$A118,$C$3:$C$1000,"&lt;&gt;Demo")-P118,"↑"))</f>
      </c>
      <c r="R118" s="13"/>
    </row>
    <row r="119" customFormat="false" ht="15" hidden="false" customHeight="false" outlineLevel="0" collapsed="false">
      <c r="A119" s="13"/>
      <c r="B119" s="14"/>
      <c r="C119" s="13"/>
      <c r="D119" s="13">
        <f>IF(AND($A119&lt;&gt;"",$A119=$A118),D118,"")</f>
      </c>
      <c r="E119" s="13"/>
      <c r="F119" s="13"/>
      <c r="G119" s="15"/>
      <c r="H119" s="15"/>
      <c r="I119" s="16"/>
      <c r="J119" s="13"/>
      <c r="K119" s="13">
        <f>IF(AND($A119&lt;&gt;"",$A119=$A118),K118,"")</f>
      </c>
      <c r="L119" s="13">
        <f>IF(AND($A119&lt;&gt;"",$A119=$A118),L118,"")</f>
      </c>
      <c r="M119" s="13">
        <f>IF(AND($A119&lt;&gt;"",$A119=$A118),M118,"")</f>
      </c>
      <c r="N119" s="10">
        <f>IF(H119="","",H119-G119)</f>
      </c>
      <c r="O119" s="11">
        <f>IFERROR(N119/H119,"")</f>
      </c>
      <c r="P119" s="10">
        <f>IF($A119="","",IF(COUNTIF($A$3:$A119,$A119)=1,SUMIF(cobranza!$B$3:$B$1000,$A119,cobranza!$D$3:$D$1000),"↑"))</f>
      </c>
      <c r="Q119" s="10">
        <f>IF($A119="","",IF(COUNTIF($A$3:$A119,$A119)=1,SUMIFS($H$3:$H$1000,$A$3:$A$1000,$A119,$C$3:$C$1000,"&lt;&gt;Demo")-P119,"↑"))</f>
      </c>
      <c r="R119" s="13"/>
    </row>
    <row r="120" customFormat="false" ht="15" hidden="false" customHeight="false" outlineLevel="0" collapsed="false">
      <c r="A120" s="13"/>
      <c r="B120" s="14"/>
      <c r="C120" s="13"/>
      <c r="D120" s="13">
        <f>IF(AND($A120&lt;&gt;"",$A120=$A119),D119,"")</f>
      </c>
      <c r="E120" s="13"/>
      <c r="F120" s="13"/>
      <c r="G120" s="15"/>
      <c r="H120" s="15"/>
      <c r="I120" s="16"/>
      <c r="J120" s="13"/>
      <c r="K120" s="13">
        <f>IF(AND($A120&lt;&gt;"",$A120=$A119),K119,"")</f>
      </c>
      <c r="L120" s="13">
        <f>IF(AND($A120&lt;&gt;"",$A120=$A119),L119,"")</f>
      </c>
      <c r="M120" s="13">
        <f>IF(AND($A120&lt;&gt;"",$A120=$A119),M119,"")</f>
      </c>
      <c r="N120" s="10">
        <f>IF(H120="","",H120-G120)</f>
      </c>
      <c r="O120" s="11">
        <f>IFERROR(N120/H120,"")</f>
      </c>
      <c r="P120" s="10">
        <f>IF($A120="","",IF(COUNTIF($A$3:$A120,$A120)=1,SUMIF(cobranza!$B$3:$B$1000,$A120,cobranza!$D$3:$D$1000),"↑"))</f>
      </c>
      <c r="Q120" s="10">
        <f>IF($A120="","",IF(COUNTIF($A$3:$A120,$A120)=1,SUMIFS($H$3:$H$1000,$A$3:$A$1000,$A120,$C$3:$C$1000,"&lt;&gt;Demo")-P120,"↑"))</f>
      </c>
      <c r="R120" s="13"/>
    </row>
    <row r="121" customFormat="false" ht="15" hidden="false" customHeight="false" outlineLevel="0" collapsed="false">
      <c r="A121" s="13"/>
      <c r="B121" s="14"/>
      <c r="C121" s="13"/>
      <c r="D121" s="13">
        <f>IF(AND($A121&lt;&gt;"",$A121=$A120),D120,"")</f>
      </c>
      <c r="E121" s="13"/>
      <c r="F121" s="13"/>
      <c r="G121" s="15"/>
      <c r="H121" s="15"/>
      <c r="I121" s="16"/>
      <c r="J121" s="13"/>
      <c r="K121" s="13">
        <f>IF(AND($A121&lt;&gt;"",$A121=$A120),K120,"")</f>
      </c>
      <c r="L121" s="13">
        <f>IF(AND($A121&lt;&gt;"",$A121=$A120),L120,"")</f>
      </c>
      <c r="M121" s="13">
        <f>IF(AND($A121&lt;&gt;"",$A121=$A120),M120,"")</f>
      </c>
      <c r="N121" s="10">
        <f>IF(H121="","",H121-G121)</f>
      </c>
      <c r="O121" s="11">
        <f>IFERROR(N121/H121,"")</f>
      </c>
      <c r="P121" s="10">
        <f>IF($A121="","",IF(COUNTIF($A$3:$A121,$A121)=1,SUMIF(cobranza!$B$3:$B$1000,$A121,cobranza!$D$3:$D$1000),"↑"))</f>
      </c>
      <c r="Q121" s="10">
        <f>IF($A121="","",IF(COUNTIF($A$3:$A121,$A121)=1,SUMIFS($H$3:$H$1000,$A$3:$A$1000,$A121,$C$3:$C$1000,"&lt;&gt;Demo")-P121,"↑"))</f>
      </c>
      <c r="R121" s="13"/>
    </row>
    <row r="122" customFormat="false" ht="15" hidden="false" customHeight="false" outlineLevel="0" collapsed="false">
      <c r="A122" s="13"/>
      <c r="B122" s="14"/>
      <c r="C122" s="13"/>
      <c r="D122" s="13">
        <f>IF(AND($A122&lt;&gt;"",$A122=$A121),D121,"")</f>
      </c>
      <c r="E122" s="13"/>
      <c r="F122" s="13"/>
      <c r="G122" s="15"/>
      <c r="H122" s="15"/>
      <c r="I122" s="16"/>
      <c r="J122" s="13"/>
      <c r="K122" s="13">
        <f>IF(AND($A122&lt;&gt;"",$A122=$A121),K121,"")</f>
      </c>
      <c r="L122" s="13">
        <f>IF(AND($A122&lt;&gt;"",$A122=$A121),L121,"")</f>
      </c>
      <c r="M122" s="13">
        <f>IF(AND($A122&lt;&gt;"",$A122=$A121),M121,"")</f>
      </c>
      <c r="N122" s="10">
        <f>IF(H122="","",H122-G122)</f>
      </c>
      <c r="O122" s="11">
        <f>IFERROR(N122/H122,"")</f>
      </c>
      <c r="P122" s="10">
        <f>IF($A122="","",IF(COUNTIF($A$3:$A122,$A122)=1,SUMIF(cobranza!$B$3:$B$1000,$A122,cobranza!$D$3:$D$1000),"↑"))</f>
      </c>
      <c r="Q122" s="10">
        <f>IF($A122="","",IF(COUNTIF($A$3:$A122,$A122)=1,SUMIFS($H$3:$H$1000,$A$3:$A$1000,$A122,$C$3:$C$1000,"&lt;&gt;Demo")-P122,"↑"))</f>
      </c>
      <c r="R122" s="13"/>
    </row>
    <row r="123" customFormat="false" ht="15" hidden="false" customHeight="false" outlineLevel="0" collapsed="false">
      <c r="A123" s="13"/>
      <c r="B123" s="14"/>
      <c r="C123" s="13"/>
      <c r="D123" s="13">
        <f>IF(AND($A123&lt;&gt;"",$A123=$A122),D122,"")</f>
      </c>
      <c r="E123" s="13"/>
      <c r="F123" s="13"/>
      <c r="G123" s="15"/>
      <c r="H123" s="15"/>
      <c r="I123" s="16"/>
      <c r="J123" s="13"/>
      <c r="K123" s="13">
        <f>IF(AND($A123&lt;&gt;"",$A123=$A122),K122,"")</f>
      </c>
      <c r="L123" s="13">
        <f>IF(AND($A123&lt;&gt;"",$A123=$A122),L122,"")</f>
      </c>
      <c r="M123" s="13">
        <f>IF(AND($A123&lt;&gt;"",$A123=$A122),M122,"")</f>
      </c>
      <c r="N123" s="10">
        <f>IF(H123="","",H123-G123)</f>
      </c>
      <c r="O123" s="11">
        <f>IFERROR(N123/H123,"")</f>
      </c>
      <c r="P123" s="10">
        <f>IF($A123="","",IF(COUNTIF($A$3:$A123,$A123)=1,SUMIF(cobranza!$B$3:$B$1000,$A123,cobranza!$D$3:$D$1000),"↑"))</f>
      </c>
      <c r="Q123" s="10">
        <f>IF($A123="","",IF(COUNTIF($A$3:$A123,$A123)=1,SUMIFS($H$3:$H$1000,$A$3:$A$1000,$A123,$C$3:$C$1000,"&lt;&gt;Demo")-P123,"↑"))</f>
      </c>
      <c r="R123" s="13"/>
    </row>
    <row r="124" customFormat="false" ht="15" hidden="false" customHeight="false" outlineLevel="0" collapsed="false">
      <c r="A124" s="13"/>
      <c r="B124" s="14"/>
      <c r="C124" s="13"/>
      <c r="D124" s="13">
        <f>IF(AND($A124&lt;&gt;"",$A124=$A123),D123,"")</f>
      </c>
      <c r="E124" s="13"/>
      <c r="F124" s="13"/>
      <c r="G124" s="15"/>
      <c r="H124" s="15"/>
      <c r="I124" s="16"/>
      <c r="J124" s="13"/>
      <c r="K124" s="13">
        <f>IF(AND($A124&lt;&gt;"",$A124=$A123),K123,"")</f>
      </c>
      <c r="L124" s="13">
        <f>IF(AND($A124&lt;&gt;"",$A124=$A123),L123,"")</f>
      </c>
      <c r="M124" s="13">
        <f>IF(AND($A124&lt;&gt;"",$A124=$A123),M123,"")</f>
      </c>
      <c r="N124" s="10">
        <f>IF(H124="","",H124-G124)</f>
      </c>
      <c r="O124" s="11">
        <f>IFERROR(N124/H124,"")</f>
      </c>
      <c r="P124" s="10">
        <f>IF($A124="","",IF(COUNTIF($A$3:$A124,$A124)=1,SUMIF(cobranza!$B$3:$B$1000,$A124,cobranza!$D$3:$D$1000),"↑"))</f>
      </c>
      <c r="Q124" s="10">
        <f>IF($A124="","",IF(COUNTIF($A$3:$A124,$A124)=1,SUMIFS($H$3:$H$1000,$A$3:$A$1000,$A124,$C$3:$C$1000,"&lt;&gt;Demo")-P124,"↑"))</f>
      </c>
      <c r="R124" s="13"/>
    </row>
    <row r="125" customFormat="false" ht="15" hidden="false" customHeight="false" outlineLevel="0" collapsed="false">
      <c r="A125" s="13"/>
      <c r="B125" s="14"/>
      <c r="C125" s="13"/>
      <c r="D125" s="13">
        <f>IF(AND($A125&lt;&gt;"",$A125=$A124),D124,"")</f>
      </c>
      <c r="E125" s="13"/>
      <c r="F125" s="13"/>
      <c r="G125" s="15"/>
      <c r="H125" s="15"/>
      <c r="I125" s="16"/>
      <c r="J125" s="13"/>
      <c r="K125" s="13">
        <f>IF(AND($A125&lt;&gt;"",$A125=$A124),K124,"")</f>
      </c>
      <c r="L125" s="13">
        <f>IF(AND($A125&lt;&gt;"",$A125=$A124),L124,"")</f>
      </c>
      <c r="M125" s="13">
        <f>IF(AND($A125&lt;&gt;"",$A125=$A124),M124,"")</f>
      </c>
      <c r="N125" s="10">
        <f>IF(H125="","",H125-G125)</f>
      </c>
      <c r="O125" s="11">
        <f>IFERROR(N125/H125,"")</f>
      </c>
      <c r="P125" s="10">
        <f>IF($A125="","",IF(COUNTIF($A$3:$A125,$A125)=1,SUMIF(cobranza!$B$3:$B$1000,$A125,cobranza!$D$3:$D$1000),"↑"))</f>
      </c>
      <c r="Q125" s="10">
        <f>IF($A125="","",IF(COUNTIF($A$3:$A125,$A125)=1,SUMIFS($H$3:$H$1000,$A$3:$A$1000,$A125,$C$3:$C$1000,"&lt;&gt;Demo")-P125,"↑"))</f>
      </c>
      <c r="R125" s="13"/>
    </row>
    <row r="126" customFormat="false" ht="15" hidden="false" customHeight="false" outlineLevel="0" collapsed="false">
      <c r="A126" s="13"/>
      <c r="B126" s="14"/>
      <c r="C126" s="13"/>
      <c r="D126" s="13">
        <f>IF(AND($A126&lt;&gt;"",$A126=$A125),D125,"")</f>
      </c>
      <c r="E126" s="13"/>
      <c r="F126" s="13"/>
      <c r="G126" s="15"/>
      <c r="H126" s="15"/>
      <c r="I126" s="16"/>
      <c r="J126" s="13"/>
      <c r="K126" s="13">
        <f>IF(AND($A126&lt;&gt;"",$A126=$A125),K125,"")</f>
      </c>
      <c r="L126" s="13">
        <f>IF(AND($A126&lt;&gt;"",$A126=$A125),L125,"")</f>
      </c>
      <c r="M126" s="13">
        <f>IF(AND($A126&lt;&gt;"",$A126=$A125),M125,"")</f>
      </c>
      <c r="N126" s="10">
        <f>IF(H126="","",H126-G126)</f>
      </c>
      <c r="O126" s="11">
        <f>IFERROR(N126/H126,"")</f>
      </c>
      <c r="P126" s="10">
        <f>IF($A126="","",IF(COUNTIF($A$3:$A126,$A126)=1,SUMIF(cobranza!$B$3:$B$1000,$A126,cobranza!$D$3:$D$1000),"↑"))</f>
      </c>
      <c r="Q126" s="10">
        <f>IF($A126="","",IF(COUNTIF($A$3:$A126,$A126)=1,SUMIFS($H$3:$H$1000,$A$3:$A$1000,$A126,$C$3:$C$1000,"&lt;&gt;Demo")-P126,"↑"))</f>
      </c>
      <c r="R126" s="13"/>
    </row>
    <row r="127" customFormat="false" ht="15" hidden="false" customHeight="false" outlineLevel="0" collapsed="false">
      <c r="A127" s="13"/>
      <c r="B127" s="14"/>
      <c r="C127" s="13"/>
      <c r="D127" s="13">
        <f>IF(AND($A127&lt;&gt;"",$A127=$A126),D126,"")</f>
      </c>
      <c r="E127" s="13"/>
      <c r="F127" s="13"/>
      <c r="G127" s="15"/>
      <c r="H127" s="15"/>
      <c r="I127" s="16"/>
      <c r="J127" s="13"/>
      <c r="K127" s="13">
        <f>IF(AND($A127&lt;&gt;"",$A127=$A126),K126,"")</f>
      </c>
      <c r="L127" s="13">
        <f>IF(AND($A127&lt;&gt;"",$A127=$A126),L126,"")</f>
      </c>
      <c r="M127" s="13">
        <f>IF(AND($A127&lt;&gt;"",$A127=$A126),M126,"")</f>
      </c>
      <c r="N127" s="10">
        <f>IF(H127="","",H127-G127)</f>
      </c>
      <c r="O127" s="11">
        <f>IFERROR(N127/H127,"")</f>
      </c>
      <c r="P127" s="10">
        <f>IF($A127="","",IF(COUNTIF($A$3:$A127,$A127)=1,SUMIF(cobranza!$B$3:$B$1000,$A127,cobranza!$D$3:$D$1000),"↑"))</f>
      </c>
      <c r="Q127" s="10">
        <f>IF($A127="","",IF(COUNTIF($A$3:$A127,$A127)=1,SUMIFS($H$3:$H$1000,$A$3:$A$1000,$A127,$C$3:$C$1000,"&lt;&gt;Demo")-P127,"↑"))</f>
      </c>
      <c r="R127" s="13"/>
    </row>
    <row r="128" customFormat="false" ht="15" hidden="false" customHeight="false" outlineLevel="0" collapsed="false">
      <c r="A128" s="13"/>
      <c r="B128" s="14"/>
      <c r="C128" s="13"/>
      <c r="D128" s="13">
        <f>IF(AND($A128&lt;&gt;"",$A128=$A127),D127,"")</f>
      </c>
      <c r="E128" s="13"/>
      <c r="F128" s="13"/>
      <c r="G128" s="15"/>
      <c r="H128" s="15"/>
      <c r="I128" s="16"/>
      <c r="J128" s="13"/>
      <c r="K128" s="13">
        <f>IF(AND($A128&lt;&gt;"",$A128=$A127),K127,"")</f>
      </c>
      <c r="L128" s="13">
        <f>IF(AND($A128&lt;&gt;"",$A128=$A127),L127,"")</f>
      </c>
      <c r="M128" s="13">
        <f>IF(AND($A128&lt;&gt;"",$A128=$A127),M127,"")</f>
      </c>
      <c r="N128" s="10">
        <f>IF(H128="","",H128-G128)</f>
      </c>
      <c r="O128" s="11">
        <f>IFERROR(N128/H128,"")</f>
      </c>
      <c r="P128" s="10">
        <f>IF($A128="","",IF(COUNTIF($A$3:$A128,$A128)=1,SUMIF(cobranza!$B$3:$B$1000,$A128,cobranza!$D$3:$D$1000),"↑"))</f>
      </c>
      <c r="Q128" s="10">
        <f>IF($A128="","",IF(COUNTIF($A$3:$A128,$A128)=1,SUMIFS($H$3:$H$1000,$A$3:$A$1000,$A128,$C$3:$C$1000,"&lt;&gt;Demo")-P128,"↑"))</f>
      </c>
      <c r="R128" s="13"/>
    </row>
    <row r="129" customFormat="false" ht="15" hidden="false" customHeight="false" outlineLevel="0" collapsed="false">
      <c r="A129" s="13"/>
      <c r="B129" s="14"/>
      <c r="C129" s="13"/>
      <c r="D129" s="13">
        <f>IF(AND($A129&lt;&gt;"",$A129=$A128),D128,"")</f>
      </c>
      <c r="E129" s="13"/>
      <c r="F129" s="13"/>
      <c r="G129" s="15"/>
      <c r="H129" s="15"/>
      <c r="I129" s="16"/>
      <c r="J129" s="13"/>
      <c r="K129" s="13">
        <f>IF(AND($A129&lt;&gt;"",$A129=$A128),K128,"")</f>
      </c>
      <c r="L129" s="13">
        <f>IF(AND($A129&lt;&gt;"",$A129=$A128),L128,"")</f>
      </c>
      <c r="M129" s="13">
        <f>IF(AND($A129&lt;&gt;"",$A129=$A128),M128,"")</f>
      </c>
      <c r="N129" s="10">
        <f>IF(H129="","",H129-G129)</f>
      </c>
      <c r="O129" s="11">
        <f>IFERROR(N129/H129,"")</f>
      </c>
      <c r="P129" s="10">
        <f>IF($A129="","",IF(COUNTIF($A$3:$A129,$A129)=1,SUMIF(cobranza!$B$3:$B$1000,$A129,cobranza!$D$3:$D$1000),"↑"))</f>
      </c>
      <c r="Q129" s="10">
        <f>IF($A129="","",IF(COUNTIF($A$3:$A129,$A129)=1,SUMIFS($H$3:$H$1000,$A$3:$A$1000,$A129,$C$3:$C$1000,"&lt;&gt;Demo")-P129,"↑"))</f>
      </c>
      <c r="R129" s="13"/>
    </row>
    <row r="130" customFormat="false" ht="15" hidden="false" customHeight="false" outlineLevel="0" collapsed="false">
      <c r="A130" s="13"/>
      <c r="B130" s="14"/>
      <c r="C130" s="13"/>
      <c r="D130" s="13">
        <f>IF(AND($A130&lt;&gt;"",$A130=$A129),D129,"")</f>
      </c>
      <c r="E130" s="13"/>
      <c r="F130" s="13"/>
      <c r="G130" s="15"/>
      <c r="H130" s="15"/>
      <c r="I130" s="16"/>
      <c r="J130" s="13"/>
      <c r="K130" s="13">
        <f>IF(AND($A130&lt;&gt;"",$A130=$A129),K129,"")</f>
      </c>
      <c r="L130" s="13">
        <f>IF(AND($A130&lt;&gt;"",$A130=$A129),L129,"")</f>
      </c>
      <c r="M130" s="13">
        <f>IF(AND($A130&lt;&gt;"",$A130=$A129),M129,"")</f>
      </c>
      <c r="N130" s="10">
        <f>IF(H130="","",H130-G130)</f>
      </c>
      <c r="O130" s="11">
        <f>IFERROR(N130/H130,"")</f>
      </c>
      <c r="P130" s="10">
        <f>IF($A130="","",IF(COUNTIF($A$3:$A130,$A130)=1,SUMIF(cobranza!$B$3:$B$1000,$A130,cobranza!$D$3:$D$1000),"↑"))</f>
      </c>
      <c r="Q130" s="10">
        <f>IF($A130="","",IF(COUNTIF($A$3:$A130,$A130)=1,SUMIFS($H$3:$H$1000,$A$3:$A$1000,$A130,$C$3:$C$1000,"&lt;&gt;Demo")-P130,"↑"))</f>
      </c>
      <c r="R130" s="13"/>
    </row>
    <row r="131" customFormat="false" ht="15" hidden="false" customHeight="false" outlineLevel="0" collapsed="false">
      <c r="A131" s="13"/>
      <c r="B131" s="14"/>
      <c r="C131" s="13"/>
      <c r="D131" s="13">
        <f>IF(AND($A131&lt;&gt;"",$A131=$A130),D130,"")</f>
      </c>
      <c r="E131" s="13"/>
      <c r="F131" s="13"/>
      <c r="G131" s="15"/>
      <c r="H131" s="15"/>
      <c r="I131" s="16"/>
      <c r="J131" s="13"/>
      <c r="K131" s="13">
        <f>IF(AND($A131&lt;&gt;"",$A131=$A130),K130,"")</f>
      </c>
      <c r="L131" s="13">
        <f>IF(AND($A131&lt;&gt;"",$A131=$A130),L130,"")</f>
      </c>
      <c r="M131" s="13">
        <f>IF(AND($A131&lt;&gt;"",$A131=$A130),M130,"")</f>
      </c>
      <c r="N131" s="10">
        <f>IF(H131="","",H131-G131)</f>
      </c>
      <c r="O131" s="11">
        <f>IFERROR(N131/H131,"")</f>
      </c>
      <c r="P131" s="10">
        <f>IF($A131="","",IF(COUNTIF($A$3:$A131,$A131)=1,SUMIF(cobranza!$B$3:$B$1000,$A131,cobranza!$D$3:$D$1000),"↑"))</f>
      </c>
      <c r="Q131" s="10">
        <f>IF($A131="","",IF(COUNTIF($A$3:$A131,$A131)=1,SUMIFS($H$3:$H$1000,$A$3:$A$1000,$A131,$C$3:$C$1000,"&lt;&gt;Demo")-P131,"↑"))</f>
      </c>
      <c r="R131" s="13"/>
    </row>
    <row r="132" customFormat="false" ht="15" hidden="false" customHeight="false" outlineLevel="0" collapsed="false">
      <c r="A132" s="13"/>
      <c r="B132" s="14"/>
      <c r="C132" s="13"/>
      <c r="D132" s="13">
        <f>IF(AND($A132&lt;&gt;"",$A132=$A131),D131,"")</f>
      </c>
      <c r="E132" s="13"/>
      <c r="F132" s="13"/>
      <c r="G132" s="15"/>
      <c r="H132" s="15"/>
      <c r="I132" s="16"/>
      <c r="J132" s="13"/>
      <c r="K132" s="13">
        <f>IF(AND($A132&lt;&gt;"",$A132=$A131),K131,"")</f>
      </c>
      <c r="L132" s="13">
        <f>IF(AND($A132&lt;&gt;"",$A132=$A131),L131,"")</f>
      </c>
      <c r="M132" s="13">
        <f>IF(AND($A132&lt;&gt;"",$A132=$A131),M131,"")</f>
      </c>
      <c r="N132" s="10">
        <f>IF(H132="","",H132-G132)</f>
      </c>
      <c r="O132" s="11">
        <f>IFERROR(N132/H132,"")</f>
      </c>
      <c r="P132" s="10">
        <f>IF($A132="","",IF(COUNTIF($A$3:$A132,$A132)=1,SUMIF(cobranza!$B$3:$B$1000,$A132,cobranza!$D$3:$D$1000),"↑"))</f>
      </c>
      <c r="Q132" s="10">
        <f>IF($A132="","",IF(COUNTIF($A$3:$A132,$A132)=1,SUMIFS($H$3:$H$1000,$A$3:$A$1000,$A132,$C$3:$C$1000,"&lt;&gt;Demo")-P132,"↑"))</f>
      </c>
      <c r="R132" s="13"/>
    </row>
    <row r="133" customFormat="false" ht="15" hidden="false" customHeight="false" outlineLevel="0" collapsed="false">
      <c r="A133" s="13"/>
      <c r="B133" s="14"/>
      <c r="C133" s="13"/>
      <c r="D133" s="13">
        <f>IF(AND($A133&lt;&gt;"",$A133=$A132),D132,"")</f>
      </c>
      <c r="E133" s="13"/>
      <c r="F133" s="13"/>
      <c r="G133" s="15"/>
      <c r="H133" s="15"/>
      <c r="I133" s="16"/>
      <c r="J133" s="13"/>
      <c r="K133" s="13">
        <f>IF(AND($A133&lt;&gt;"",$A133=$A132),K132,"")</f>
      </c>
      <c r="L133" s="13">
        <f>IF(AND($A133&lt;&gt;"",$A133=$A132),L132,"")</f>
      </c>
      <c r="M133" s="13">
        <f>IF(AND($A133&lt;&gt;"",$A133=$A132),M132,"")</f>
      </c>
      <c r="N133" s="10">
        <f>IF(H133="","",H133-G133)</f>
      </c>
      <c r="O133" s="11">
        <f>IFERROR(N133/H133,"")</f>
      </c>
      <c r="P133" s="10">
        <f>IF($A133="","",IF(COUNTIF($A$3:$A133,$A133)=1,SUMIF(cobranza!$B$3:$B$1000,$A133,cobranza!$D$3:$D$1000),"↑"))</f>
      </c>
      <c r="Q133" s="10">
        <f>IF($A133="","",IF(COUNTIF($A$3:$A133,$A133)=1,SUMIFS($H$3:$H$1000,$A$3:$A$1000,$A133,$C$3:$C$1000,"&lt;&gt;Demo")-P133,"↑"))</f>
      </c>
      <c r="R133" s="13"/>
    </row>
    <row r="134" customFormat="false" ht="15" hidden="false" customHeight="false" outlineLevel="0" collapsed="false">
      <c r="A134" s="13"/>
      <c r="B134" s="14"/>
      <c r="C134" s="13"/>
      <c r="D134" s="13">
        <f>IF(AND($A134&lt;&gt;"",$A134=$A133),D133,"")</f>
      </c>
      <c r="E134" s="13"/>
      <c r="F134" s="13"/>
      <c r="G134" s="15"/>
      <c r="H134" s="15"/>
      <c r="I134" s="16"/>
      <c r="J134" s="13"/>
      <c r="K134" s="13">
        <f>IF(AND($A134&lt;&gt;"",$A134=$A133),K133,"")</f>
      </c>
      <c r="L134" s="13">
        <f>IF(AND($A134&lt;&gt;"",$A134=$A133),L133,"")</f>
      </c>
      <c r="M134" s="13">
        <f>IF(AND($A134&lt;&gt;"",$A134=$A133),M133,"")</f>
      </c>
      <c r="N134" s="10">
        <f>IF(H134="","",H134-G134)</f>
      </c>
      <c r="O134" s="11">
        <f>IFERROR(N134/H134,"")</f>
      </c>
      <c r="P134" s="10">
        <f>IF($A134="","",IF(COUNTIF($A$3:$A134,$A134)=1,SUMIF(cobranza!$B$3:$B$1000,$A134,cobranza!$D$3:$D$1000),"↑"))</f>
      </c>
      <c r="Q134" s="10">
        <f>IF($A134="","",IF(COUNTIF($A$3:$A134,$A134)=1,SUMIFS($H$3:$H$1000,$A$3:$A$1000,$A134,$C$3:$C$1000,"&lt;&gt;Demo")-P134,"↑"))</f>
      </c>
      <c r="R134" s="13"/>
    </row>
    <row r="135" customFormat="false" ht="15" hidden="false" customHeight="false" outlineLevel="0" collapsed="false">
      <c r="A135" s="13"/>
      <c r="B135" s="14"/>
      <c r="C135" s="13"/>
      <c r="D135" s="13">
        <f>IF(AND($A135&lt;&gt;"",$A135=$A134),D134,"")</f>
      </c>
      <c r="E135" s="13"/>
      <c r="F135" s="13"/>
      <c r="G135" s="15"/>
      <c r="H135" s="15"/>
      <c r="I135" s="16"/>
      <c r="J135" s="13"/>
      <c r="K135" s="13">
        <f>IF(AND($A135&lt;&gt;"",$A135=$A134),K134,"")</f>
      </c>
      <c r="L135" s="13">
        <f>IF(AND($A135&lt;&gt;"",$A135=$A134),L134,"")</f>
      </c>
      <c r="M135" s="13">
        <f>IF(AND($A135&lt;&gt;"",$A135=$A134),M134,"")</f>
      </c>
      <c r="N135" s="10">
        <f>IF(H135="","",H135-G135)</f>
      </c>
      <c r="O135" s="11">
        <f>IFERROR(N135/H135,"")</f>
      </c>
      <c r="P135" s="10">
        <f>IF($A135="","",IF(COUNTIF($A$3:$A135,$A135)=1,SUMIF(cobranza!$B$3:$B$1000,$A135,cobranza!$D$3:$D$1000),"↑"))</f>
      </c>
      <c r="Q135" s="10">
        <f>IF($A135="","",IF(COUNTIF($A$3:$A135,$A135)=1,SUMIFS($H$3:$H$1000,$A$3:$A$1000,$A135,$C$3:$C$1000,"&lt;&gt;Demo")-P135,"↑"))</f>
      </c>
      <c r="R135" s="13"/>
    </row>
    <row r="136" customFormat="false" ht="15" hidden="false" customHeight="false" outlineLevel="0" collapsed="false">
      <c r="A136" s="13"/>
      <c r="B136" s="14"/>
      <c r="C136" s="13"/>
      <c r="D136" s="13">
        <f>IF(AND($A136&lt;&gt;"",$A136=$A135),D135,"")</f>
      </c>
      <c r="E136" s="13"/>
      <c r="F136" s="13"/>
      <c r="G136" s="15"/>
      <c r="H136" s="15"/>
      <c r="I136" s="16"/>
      <c r="J136" s="13"/>
      <c r="K136" s="13">
        <f>IF(AND($A136&lt;&gt;"",$A136=$A135),K135,"")</f>
      </c>
      <c r="L136" s="13">
        <f>IF(AND($A136&lt;&gt;"",$A136=$A135),L135,"")</f>
      </c>
      <c r="M136" s="13">
        <f>IF(AND($A136&lt;&gt;"",$A136=$A135),M135,"")</f>
      </c>
      <c r="N136" s="10">
        <f>IF(H136="","",H136-G136)</f>
      </c>
      <c r="O136" s="11">
        <f>IFERROR(N136/H136,"")</f>
      </c>
      <c r="P136" s="10">
        <f>IF($A136="","",IF(COUNTIF($A$3:$A136,$A136)=1,SUMIF(cobranza!$B$3:$B$1000,$A136,cobranza!$D$3:$D$1000),"↑"))</f>
      </c>
      <c r="Q136" s="10">
        <f>IF($A136="","",IF(COUNTIF($A$3:$A136,$A136)=1,SUMIFS($H$3:$H$1000,$A$3:$A$1000,$A136,$C$3:$C$1000,"&lt;&gt;Demo")-P136,"↑"))</f>
      </c>
      <c r="R136" s="13"/>
    </row>
    <row r="137" customFormat="false" ht="15" hidden="false" customHeight="false" outlineLevel="0" collapsed="false">
      <c r="A137" s="13"/>
      <c r="B137" s="14"/>
      <c r="C137" s="13"/>
      <c r="D137" s="13">
        <f>IF(AND($A137&lt;&gt;"",$A137=$A136),D136,"")</f>
      </c>
      <c r="E137" s="13"/>
      <c r="F137" s="13"/>
      <c r="G137" s="15"/>
      <c r="H137" s="15"/>
      <c r="I137" s="16"/>
      <c r="J137" s="13"/>
      <c r="K137" s="13">
        <f>IF(AND($A137&lt;&gt;"",$A137=$A136),K136,"")</f>
      </c>
      <c r="L137" s="13">
        <f>IF(AND($A137&lt;&gt;"",$A137=$A136),L136,"")</f>
      </c>
      <c r="M137" s="13">
        <f>IF(AND($A137&lt;&gt;"",$A137=$A136),M136,"")</f>
      </c>
      <c r="N137" s="10">
        <f>IF(H137="","",H137-G137)</f>
      </c>
      <c r="O137" s="11">
        <f>IFERROR(N137/H137,"")</f>
      </c>
      <c r="P137" s="10">
        <f>IF($A137="","",IF(COUNTIF($A$3:$A137,$A137)=1,SUMIF(cobranza!$B$3:$B$1000,$A137,cobranza!$D$3:$D$1000),"↑"))</f>
      </c>
      <c r="Q137" s="10">
        <f>IF($A137="","",IF(COUNTIF($A$3:$A137,$A137)=1,SUMIFS($H$3:$H$1000,$A$3:$A$1000,$A137,$C$3:$C$1000,"&lt;&gt;Demo")-P137,"↑"))</f>
      </c>
      <c r="R137" s="13"/>
    </row>
    <row r="138" customFormat="false" ht="15" hidden="false" customHeight="false" outlineLevel="0" collapsed="false">
      <c r="A138" s="13"/>
      <c r="B138" s="14"/>
      <c r="C138" s="13"/>
      <c r="D138" s="13">
        <f>IF(AND($A138&lt;&gt;"",$A138=$A137),D137,"")</f>
      </c>
      <c r="E138" s="13"/>
      <c r="F138" s="13"/>
      <c r="G138" s="15"/>
      <c r="H138" s="15"/>
      <c r="I138" s="16"/>
      <c r="J138" s="13"/>
      <c r="K138" s="13">
        <f>IF(AND($A138&lt;&gt;"",$A138=$A137),K137,"")</f>
      </c>
      <c r="L138" s="13">
        <f>IF(AND($A138&lt;&gt;"",$A138=$A137),L137,"")</f>
      </c>
      <c r="M138" s="13">
        <f>IF(AND($A138&lt;&gt;"",$A138=$A137),M137,"")</f>
      </c>
      <c r="N138" s="10">
        <f>IF(H138="","",H138-G138)</f>
      </c>
      <c r="O138" s="11">
        <f>IFERROR(N138/H138,"")</f>
      </c>
      <c r="P138" s="10">
        <f>IF($A138="","",IF(COUNTIF($A$3:$A138,$A138)=1,SUMIF(cobranza!$B$3:$B$1000,$A138,cobranza!$D$3:$D$1000),"↑"))</f>
      </c>
      <c r="Q138" s="10">
        <f>IF($A138="","",IF(COUNTIF($A$3:$A138,$A138)=1,SUMIFS($H$3:$H$1000,$A$3:$A$1000,$A138,$C$3:$C$1000,"&lt;&gt;Demo")-P138,"↑"))</f>
      </c>
      <c r="R138" s="13"/>
    </row>
    <row r="139" customFormat="false" ht="15" hidden="false" customHeight="false" outlineLevel="0" collapsed="false">
      <c r="A139" s="13"/>
      <c r="B139" s="14"/>
      <c r="C139" s="13"/>
      <c r="D139" s="13">
        <f>IF(AND($A139&lt;&gt;"",$A139=$A138),D138,"")</f>
      </c>
      <c r="E139" s="13"/>
      <c r="F139" s="13"/>
      <c r="G139" s="15"/>
      <c r="H139" s="15"/>
      <c r="I139" s="16"/>
      <c r="J139" s="13"/>
      <c r="K139" s="13">
        <f>IF(AND($A139&lt;&gt;"",$A139=$A138),K138,"")</f>
      </c>
      <c r="L139" s="13">
        <f>IF(AND($A139&lt;&gt;"",$A139=$A138),L138,"")</f>
      </c>
      <c r="M139" s="13">
        <f>IF(AND($A139&lt;&gt;"",$A139=$A138),M138,"")</f>
      </c>
      <c r="N139" s="10">
        <f>IF(H139="","",H139-G139)</f>
      </c>
      <c r="O139" s="11">
        <f>IFERROR(N139/H139,"")</f>
      </c>
      <c r="P139" s="10">
        <f>IF($A139="","",IF(COUNTIF($A$3:$A139,$A139)=1,SUMIF(cobranza!$B$3:$B$1000,$A139,cobranza!$D$3:$D$1000),"↑"))</f>
      </c>
      <c r="Q139" s="10">
        <f>IF($A139="","",IF(COUNTIF($A$3:$A139,$A139)=1,SUMIFS($H$3:$H$1000,$A$3:$A$1000,$A139,$C$3:$C$1000,"&lt;&gt;Demo")-P139,"↑"))</f>
      </c>
      <c r="R139" s="13"/>
    </row>
    <row r="140" customFormat="false" ht="15" hidden="false" customHeight="false" outlineLevel="0" collapsed="false">
      <c r="A140" s="13"/>
      <c r="B140" s="14"/>
      <c r="C140" s="13"/>
      <c r="D140" s="13">
        <f>IF(AND($A140&lt;&gt;"",$A140=$A139),D139,"")</f>
      </c>
      <c r="E140" s="13"/>
      <c r="F140" s="13"/>
      <c r="G140" s="15"/>
      <c r="H140" s="15"/>
      <c r="I140" s="16"/>
      <c r="J140" s="13"/>
      <c r="K140" s="13">
        <f>IF(AND($A140&lt;&gt;"",$A140=$A139),K139,"")</f>
      </c>
      <c r="L140" s="13">
        <f>IF(AND($A140&lt;&gt;"",$A140=$A139),L139,"")</f>
      </c>
      <c r="M140" s="13">
        <f>IF(AND($A140&lt;&gt;"",$A140=$A139),M139,"")</f>
      </c>
      <c r="N140" s="10">
        <f>IF(H140="","",H140-G140)</f>
      </c>
      <c r="O140" s="11">
        <f>IFERROR(N140/H140,"")</f>
      </c>
      <c r="P140" s="10">
        <f>IF($A140="","",IF(COUNTIF($A$3:$A140,$A140)=1,SUMIF(cobranza!$B$3:$B$1000,$A140,cobranza!$D$3:$D$1000),"↑"))</f>
      </c>
      <c r="Q140" s="10">
        <f>IF($A140="","",IF(COUNTIF($A$3:$A140,$A140)=1,SUMIFS($H$3:$H$1000,$A$3:$A$1000,$A140,$C$3:$C$1000,"&lt;&gt;Demo")-P140,"↑"))</f>
      </c>
      <c r="R140" s="13"/>
    </row>
    <row r="141" customFormat="false" ht="15" hidden="false" customHeight="false" outlineLevel="0" collapsed="false">
      <c r="A141" s="13"/>
      <c r="B141" s="14"/>
      <c r="C141" s="13"/>
      <c r="D141" s="13">
        <f>IF(AND($A141&lt;&gt;"",$A141=$A140),D140,"")</f>
      </c>
      <c r="E141" s="13"/>
      <c r="F141" s="13"/>
      <c r="G141" s="15"/>
      <c r="H141" s="15"/>
      <c r="I141" s="16"/>
      <c r="J141" s="13"/>
      <c r="K141" s="13">
        <f>IF(AND($A141&lt;&gt;"",$A141=$A140),K140,"")</f>
      </c>
      <c r="L141" s="13">
        <f>IF(AND($A141&lt;&gt;"",$A141=$A140),L140,"")</f>
      </c>
      <c r="M141" s="13">
        <f>IF(AND($A141&lt;&gt;"",$A141=$A140),M140,"")</f>
      </c>
      <c r="N141" s="10">
        <f>IF(H141="","",H141-G141)</f>
      </c>
      <c r="O141" s="11">
        <f>IFERROR(N141/H141,"")</f>
      </c>
      <c r="P141" s="10">
        <f>IF($A141="","",IF(COUNTIF($A$3:$A141,$A141)=1,SUMIF(cobranza!$B$3:$B$1000,$A141,cobranza!$D$3:$D$1000),"↑"))</f>
      </c>
      <c r="Q141" s="10">
        <f>IF($A141="","",IF(COUNTIF($A$3:$A141,$A141)=1,SUMIFS($H$3:$H$1000,$A$3:$A$1000,$A141,$C$3:$C$1000,"&lt;&gt;Demo")-P141,"↑"))</f>
      </c>
      <c r="R141" s="13"/>
    </row>
    <row r="142" customFormat="false" ht="15" hidden="false" customHeight="false" outlineLevel="0" collapsed="false">
      <c r="A142" s="13"/>
      <c r="B142" s="14"/>
      <c r="C142" s="13"/>
      <c r="D142" s="13">
        <f>IF(AND($A142&lt;&gt;"",$A142=$A141),D141,"")</f>
      </c>
      <c r="E142" s="13"/>
      <c r="F142" s="13"/>
      <c r="G142" s="15"/>
      <c r="H142" s="15"/>
      <c r="I142" s="16"/>
      <c r="J142" s="13"/>
      <c r="K142" s="13">
        <f>IF(AND($A142&lt;&gt;"",$A142=$A141),K141,"")</f>
      </c>
      <c r="L142" s="13">
        <f>IF(AND($A142&lt;&gt;"",$A142=$A141),L141,"")</f>
      </c>
      <c r="M142" s="13">
        <f>IF(AND($A142&lt;&gt;"",$A142=$A141),M141,"")</f>
      </c>
      <c r="N142" s="10">
        <f>IF(H142="","",H142-G142)</f>
      </c>
      <c r="O142" s="11">
        <f>IFERROR(N142/H142,"")</f>
      </c>
      <c r="P142" s="10">
        <f>IF($A142="","",IF(COUNTIF($A$3:$A142,$A142)=1,SUMIF(cobranza!$B$3:$B$1000,$A142,cobranza!$D$3:$D$1000),"↑"))</f>
      </c>
      <c r="Q142" s="10">
        <f>IF($A142="","",IF(COUNTIF($A$3:$A142,$A142)=1,SUMIFS($H$3:$H$1000,$A$3:$A$1000,$A142,$C$3:$C$1000,"&lt;&gt;Demo")-P142,"↑"))</f>
      </c>
      <c r="R142" s="13"/>
    </row>
    <row r="143" customFormat="false" ht="15" hidden="false" customHeight="false" outlineLevel="0" collapsed="false">
      <c r="A143" s="13"/>
      <c r="B143" s="14"/>
      <c r="C143" s="13"/>
      <c r="D143" s="13">
        <f>IF(AND($A143&lt;&gt;"",$A143=$A142),D142,"")</f>
      </c>
      <c r="E143" s="13"/>
      <c r="F143" s="13"/>
      <c r="G143" s="15"/>
      <c r="H143" s="15"/>
      <c r="I143" s="16"/>
      <c r="J143" s="13"/>
      <c r="K143" s="13">
        <f>IF(AND($A143&lt;&gt;"",$A143=$A142),K142,"")</f>
      </c>
      <c r="L143" s="13">
        <f>IF(AND($A143&lt;&gt;"",$A143=$A142),L142,"")</f>
      </c>
      <c r="M143" s="13">
        <f>IF(AND($A143&lt;&gt;"",$A143=$A142),M142,"")</f>
      </c>
      <c r="N143" s="10">
        <f>IF(H143="","",H143-G143)</f>
      </c>
      <c r="O143" s="11">
        <f>IFERROR(N143/H143,"")</f>
      </c>
      <c r="P143" s="10">
        <f>IF($A143="","",IF(COUNTIF($A$3:$A143,$A143)=1,SUMIF(cobranza!$B$3:$B$1000,$A143,cobranza!$D$3:$D$1000),"↑"))</f>
      </c>
      <c r="Q143" s="10">
        <f>IF($A143="","",IF(COUNTIF($A$3:$A143,$A143)=1,SUMIFS($H$3:$H$1000,$A$3:$A$1000,$A143,$C$3:$C$1000,"&lt;&gt;Demo")-P143,"↑"))</f>
      </c>
      <c r="R143" s="13"/>
    </row>
    <row r="144" customFormat="false" ht="15" hidden="false" customHeight="false" outlineLevel="0" collapsed="false">
      <c r="A144" s="13"/>
      <c r="B144" s="14"/>
      <c r="C144" s="13"/>
      <c r="D144" s="13">
        <f>IF(AND($A144&lt;&gt;"",$A144=$A143),D143,"")</f>
      </c>
      <c r="E144" s="13"/>
      <c r="F144" s="13"/>
      <c r="G144" s="15"/>
      <c r="H144" s="15"/>
      <c r="I144" s="16"/>
      <c r="J144" s="13"/>
      <c r="K144" s="13">
        <f>IF(AND($A144&lt;&gt;"",$A144=$A143),K143,"")</f>
      </c>
      <c r="L144" s="13">
        <f>IF(AND($A144&lt;&gt;"",$A144=$A143),L143,"")</f>
      </c>
      <c r="M144" s="13">
        <f>IF(AND($A144&lt;&gt;"",$A144=$A143),M143,"")</f>
      </c>
      <c r="N144" s="10">
        <f>IF(H144="","",H144-G144)</f>
      </c>
      <c r="O144" s="11">
        <f>IFERROR(N144/H144,"")</f>
      </c>
      <c r="P144" s="10">
        <f>IF($A144="","",IF(COUNTIF($A$3:$A144,$A144)=1,SUMIF(cobranza!$B$3:$B$1000,$A144,cobranza!$D$3:$D$1000),"↑"))</f>
      </c>
      <c r="Q144" s="10">
        <f>IF($A144="","",IF(COUNTIF($A$3:$A144,$A144)=1,SUMIFS($H$3:$H$1000,$A$3:$A$1000,$A144,$C$3:$C$1000,"&lt;&gt;Demo")-P144,"↑"))</f>
      </c>
      <c r="R144" s="13"/>
    </row>
    <row r="145" customFormat="false" ht="15" hidden="false" customHeight="false" outlineLevel="0" collapsed="false">
      <c r="A145" s="13"/>
      <c r="B145" s="14"/>
      <c r="C145" s="13"/>
      <c r="D145" s="13">
        <f>IF(AND($A145&lt;&gt;"",$A145=$A144),D144,"")</f>
      </c>
      <c r="E145" s="13"/>
      <c r="F145" s="13"/>
      <c r="G145" s="15"/>
      <c r="H145" s="15"/>
      <c r="I145" s="16"/>
      <c r="J145" s="13"/>
      <c r="K145" s="13">
        <f>IF(AND($A145&lt;&gt;"",$A145=$A144),K144,"")</f>
      </c>
      <c r="L145" s="13">
        <f>IF(AND($A145&lt;&gt;"",$A145=$A144),L144,"")</f>
      </c>
      <c r="M145" s="13">
        <f>IF(AND($A145&lt;&gt;"",$A145=$A144),M144,"")</f>
      </c>
      <c r="N145" s="10">
        <f>IF(H145="","",H145-G145)</f>
      </c>
      <c r="O145" s="11">
        <f>IFERROR(N145/H145,"")</f>
      </c>
      <c r="P145" s="10">
        <f>IF($A145="","",IF(COUNTIF($A$3:$A145,$A145)=1,SUMIF(cobranza!$B$3:$B$1000,$A145,cobranza!$D$3:$D$1000),"↑"))</f>
      </c>
      <c r="Q145" s="10">
        <f>IF($A145="","",IF(COUNTIF($A$3:$A145,$A145)=1,SUMIFS($H$3:$H$1000,$A$3:$A$1000,$A145,$C$3:$C$1000,"&lt;&gt;Demo")-P145,"↑"))</f>
      </c>
      <c r="R145" s="13"/>
    </row>
    <row r="146" customFormat="false" ht="15" hidden="false" customHeight="false" outlineLevel="0" collapsed="false">
      <c r="A146" s="13"/>
      <c r="B146" s="14"/>
      <c r="C146" s="13"/>
      <c r="D146" s="13">
        <f>IF(AND($A146&lt;&gt;"",$A146=$A145),D145,"")</f>
      </c>
      <c r="E146" s="13"/>
      <c r="F146" s="13"/>
      <c r="G146" s="15"/>
      <c r="H146" s="15"/>
      <c r="I146" s="16"/>
      <c r="J146" s="13"/>
      <c r="K146" s="13">
        <f>IF(AND($A146&lt;&gt;"",$A146=$A145),K145,"")</f>
      </c>
      <c r="L146" s="13">
        <f>IF(AND($A146&lt;&gt;"",$A146=$A145),L145,"")</f>
      </c>
      <c r="M146" s="13">
        <f>IF(AND($A146&lt;&gt;"",$A146=$A145),M145,"")</f>
      </c>
      <c r="N146" s="10">
        <f>IF(H146="","",H146-G146)</f>
      </c>
      <c r="O146" s="11">
        <f>IFERROR(N146/H146,"")</f>
      </c>
      <c r="P146" s="10">
        <f>IF($A146="","",IF(COUNTIF($A$3:$A146,$A146)=1,SUMIF(cobranza!$B$3:$B$1000,$A146,cobranza!$D$3:$D$1000),"↑"))</f>
      </c>
      <c r="Q146" s="10">
        <f>IF($A146="","",IF(COUNTIF($A$3:$A146,$A146)=1,SUMIFS($H$3:$H$1000,$A$3:$A$1000,$A146,$C$3:$C$1000,"&lt;&gt;Demo")-P146,"↑"))</f>
      </c>
      <c r="R146" s="13"/>
    </row>
    <row r="147" customFormat="false" ht="15" hidden="false" customHeight="false" outlineLevel="0" collapsed="false">
      <c r="A147" s="13"/>
      <c r="B147" s="14"/>
      <c r="C147" s="13"/>
      <c r="D147" s="13">
        <f>IF(AND($A147&lt;&gt;"",$A147=$A146),D146,"")</f>
      </c>
      <c r="E147" s="13"/>
      <c r="F147" s="13"/>
      <c r="G147" s="15"/>
      <c r="H147" s="15"/>
      <c r="I147" s="16"/>
      <c r="J147" s="13"/>
      <c r="K147" s="13">
        <f>IF(AND($A147&lt;&gt;"",$A147=$A146),K146,"")</f>
      </c>
      <c r="L147" s="13">
        <f>IF(AND($A147&lt;&gt;"",$A147=$A146),L146,"")</f>
      </c>
      <c r="M147" s="13">
        <f>IF(AND($A147&lt;&gt;"",$A147=$A146),M146,"")</f>
      </c>
      <c r="N147" s="10">
        <f>IF(H147="","",H147-G147)</f>
      </c>
      <c r="O147" s="11">
        <f>IFERROR(N147/H147,"")</f>
      </c>
      <c r="P147" s="10">
        <f>IF($A147="","",IF(COUNTIF($A$3:$A147,$A147)=1,SUMIF(cobranza!$B$3:$B$1000,$A147,cobranza!$D$3:$D$1000),"↑"))</f>
      </c>
      <c r="Q147" s="10">
        <f>IF($A147="","",IF(COUNTIF($A$3:$A147,$A147)=1,SUMIFS($H$3:$H$1000,$A$3:$A$1000,$A147,$C$3:$C$1000,"&lt;&gt;Demo")-P147,"↑"))</f>
      </c>
      <c r="R147" s="13"/>
    </row>
    <row r="148" customFormat="false" ht="15" hidden="false" customHeight="false" outlineLevel="0" collapsed="false">
      <c r="A148" s="13"/>
      <c r="B148" s="14"/>
      <c r="C148" s="13"/>
      <c r="D148" s="13">
        <f>IF(AND($A148&lt;&gt;"",$A148=$A147),D147,"")</f>
      </c>
      <c r="E148" s="13"/>
      <c r="F148" s="13"/>
      <c r="G148" s="15"/>
      <c r="H148" s="15"/>
      <c r="I148" s="16"/>
      <c r="J148" s="13"/>
      <c r="K148" s="13">
        <f>IF(AND($A148&lt;&gt;"",$A148=$A147),K147,"")</f>
      </c>
      <c r="L148" s="13">
        <f>IF(AND($A148&lt;&gt;"",$A148=$A147),L147,"")</f>
      </c>
      <c r="M148" s="13">
        <f>IF(AND($A148&lt;&gt;"",$A148=$A147),M147,"")</f>
      </c>
      <c r="N148" s="10">
        <f>IF(H148="","",H148-G148)</f>
      </c>
      <c r="O148" s="11">
        <f>IFERROR(N148/H148,"")</f>
      </c>
      <c r="P148" s="10">
        <f>IF($A148="","",IF(COUNTIF($A$3:$A148,$A148)=1,SUMIF(cobranza!$B$3:$B$1000,$A148,cobranza!$D$3:$D$1000),"↑"))</f>
      </c>
      <c r="Q148" s="10">
        <f>IF($A148="","",IF(COUNTIF($A$3:$A148,$A148)=1,SUMIFS($H$3:$H$1000,$A$3:$A$1000,$A148,$C$3:$C$1000,"&lt;&gt;Demo")-P148,"↑"))</f>
      </c>
      <c r="R148" s="13"/>
    </row>
    <row r="149" customFormat="false" ht="15" hidden="false" customHeight="false" outlineLevel="0" collapsed="false">
      <c r="A149" s="13"/>
      <c r="B149" s="14"/>
      <c r="C149" s="13"/>
      <c r="D149" s="13">
        <f>IF(AND($A149&lt;&gt;"",$A149=$A148),D148,"")</f>
      </c>
      <c r="E149" s="13"/>
      <c r="F149" s="13"/>
      <c r="G149" s="15"/>
      <c r="H149" s="15"/>
      <c r="I149" s="16"/>
      <c r="J149" s="13"/>
      <c r="K149" s="13">
        <f>IF(AND($A149&lt;&gt;"",$A149=$A148),K148,"")</f>
      </c>
      <c r="L149" s="13">
        <f>IF(AND($A149&lt;&gt;"",$A149=$A148),L148,"")</f>
      </c>
      <c r="M149" s="13">
        <f>IF(AND($A149&lt;&gt;"",$A149=$A148),M148,"")</f>
      </c>
      <c r="N149" s="10">
        <f>IF(H149="","",H149-G149)</f>
      </c>
      <c r="O149" s="11">
        <f>IFERROR(N149/H149,"")</f>
      </c>
      <c r="P149" s="10">
        <f>IF($A149="","",IF(COUNTIF($A$3:$A149,$A149)=1,SUMIF(cobranza!$B$3:$B$1000,$A149,cobranza!$D$3:$D$1000),"↑"))</f>
      </c>
      <c r="Q149" s="10">
        <f>IF($A149="","",IF(COUNTIF($A$3:$A149,$A149)=1,SUMIFS($H$3:$H$1000,$A$3:$A$1000,$A149,$C$3:$C$1000,"&lt;&gt;Demo")-P149,"↑"))</f>
      </c>
      <c r="R149" s="13"/>
    </row>
    <row r="150" customFormat="false" ht="15" hidden="false" customHeight="false" outlineLevel="0" collapsed="false">
      <c r="A150" s="13"/>
      <c r="B150" s="14"/>
      <c r="C150" s="13"/>
      <c r="D150" s="13">
        <f>IF(AND($A150&lt;&gt;"",$A150=$A149),D149,"")</f>
      </c>
      <c r="E150" s="13"/>
      <c r="F150" s="13"/>
      <c r="G150" s="15"/>
      <c r="H150" s="15"/>
      <c r="I150" s="16"/>
      <c r="J150" s="13"/>
      <c r="K150" s="13">
        <f>IF(AND($A150&lt;&gt;"",$A150=$A149),K149,"")</f>
      </c>
      <c r="L150" s="13">
        <f>IF(AND($A150&lt;&gt;"",$A150=$A149),L149,"")</f>
      </c>
      <c r="M150" s="13">
        <f>IF(AND($A150&lt;&gt;"",$A150=$A149),M149,"")</f>
      </c>
      <c r="N150" s="10">
        <f>IF(H150="","",H150-G150)</f>
      </c>
      <c r="O150" s="11">
        <f>IFERROR(N150/H150,"")</f>
      </c>
      <c r="P150" s="10">
        <f>IF($A150="","",IF(COUNTIF($A$3:$A150,$A150)=1,SUMIF(cobranza!$B$3:$B$1000,$A150,cobranza!$D$3:$D$1000),"↑"))</f>
      </c>
      <c r="Q150" s="10">
        <f>IF($A150="","",IF(COUNTIF($A$3:$A150,$A150)=1,SUMIFS($H$3:$H$1000,$A$3:$A$1000,$A150,$C$3:$C$1000,"&lt;&gt;Demo")-P150,"↑"))</f>
      </c>
      <c r="R150" s="13"/>
    </row>
    <row r="151" customFormat="false" ht="15" hidden="false" customHeight="false" outlineLevel="0" collapsed="false">
      <c r="A151" s="13"/>
      <c r="B151" s="14"/>
      <c r="C151" s="13"/>
      <c r="D151" s="13">
        <f>IF(AND($A151&lt;&gt;"",$A151=$A150),D150,"")</f>
      </c>
      <c r="E151" s="13"/>
      <c r="F151" s="13"/>
      <c r="G151" s="15"/>
      <c r="H151" s="15"/>
      <c r="I151" s="16"/>
      <c r="J151" s="13"/>
      <c r="K151" s="13">
        <f>IF(AND($A151&lt;&gt;"",$A151=$A150),K150,"")</f>
      </c>
      <c r="L151" s="13">
        <f>IF(AND($A151&lt;&gt;"",$A151=$A150),L150,"")</f>
      </c>
      <c r="M151" s="13">
        <f>IF(AND($A151&lt;&gt;"",$A151=$A150),M150,"")</f>
      </c>
      <c r="N151" s="10">
        <f>IF(H151="","",H151-G151)</f>
      </c>
      <c r="O151" s="11">
        <f>IFERROR(N151/H151,"")</f>
      </c>
      <c r="P151" s="10">
        <f>IF($A151="","",IF(COUNTIF($A$3:$A151,$A151)=1,SUMIF(cobranza!$B$3:$B$1000,$A151,cobranza!$D$3:$D$1000),"↑"))</f>
      </c>
      <c r="Q151" s="10">
        <f>IF($A151="","",IF(COUNTIF($A$3:$A151,$A151)=1,SUMIFS($H$3:$H$1000,$A$3:$A$1000,$A151,$C$3:$C$1000,"&lt;&gt;Demo")-P151,"↑"))</f>
      </c>
      <c r="R151" s="13"/>
    </row>
    <row r="152" customFormat="false" ht="15" hidden="false" customHeight="false" outlineLevel="0" collapsed="false">
      <c r="A152" s="13"/>
      <c r="B152" s="14"/>
      <c r="C152" s="13"/>
      <c r="D152" s="13">
        <f>IF(AND($A152&lt;&gt;"",$A152=$A151),D151,"")</f>
      </c>
      <c r="E152" s="13"/>
      <c r="F152" s="13"/>
      <c r="G152" s="15"/>
      <c r="H152" s="15"/>
      <c r="I152" s="16"/>
      <c r="J152" s="13"/>
      <c r="K152" s="13">
        <f>IF(AND($A152&lt;&gt;"",$A152=$A151),K151,"")</f>
      </c>
      <c r="L152" s="13">
        <f>IF(AND($A152&lt;&gt;"",$A152=$A151),L151,"")</f>
      </c>
      <c r="M152" s="13">
        <f>IF(AND($A152&lt;&gt;"",$A152=$A151),M151,"")</f>
      </c>
      <c r="N152" s="10">
        <f>IF(H152="","",H152-G152)</f>
      </c>
      <c r="O152" s="11">
        <f>IFERROR(N152/H152,"")</f>
      </c>
      <c r="P152" s="10">
        <f>IF($A152="","",IF(COUNTIF($A$3:$A152,$A152)=1,SUMIF(cobranza!$B$3:$B$1000,$A152,cobranza!$D$3:$D$1000),"↑"))</f>
      </c>
      <c r="Q152" s="10">
        <f>IF($A152="","",IF(COUNTIF($A$3:$A152,$A152)=1,SUMIFS($H$3:$H$1000,$A$3:$A$1000,$A152,$C$3:$C$1000,"&lt;&gt;Demo")-P152,"↑"))</f>
      </c>
      <c r="R152" s="13"/>
    </row>
    <row r="153" customFormat="false" ht="15" hidden="false" customHeight="false" outlineLevel="0" collapsed="false">
      <c r="A153" s="13"/>
      <c r="B153" s="14"/>
      <c r="C153" s="13"/>
      <c r="D153" s="13">
        <f>IF(AND($A153&lt;&gt;"",$A153=$A152),D152,"")</f>
      </c>
      <c r="E153" s="13"/>
      <c r="F153" s="13"/>
      <c r="G153" s="15"/>
      <c r="H153" s="15"/>
      <c r="I153" s="16"/>
      <c r="J153" s="13"/>
      <c r="K153" s="13">
        <f>IF(AND($A153&lt;&gt;"",$A153=$A152),K152,"")</f>
      </c>
      <c r="L153" s="13">
        <f>IF(AND($A153&lt;&gt;"",$A153=$A152),L152,"")</f>
      </c>
      <c r="M153" s="13">
        <f>IF(AND($A153&lt;&gt;"",$A153=$A152),M152,"")</f>
      </c>
      <c r="N153" s="10">
        <f>IF(H153="","",H153-G153)</f>
      </c>
      <c r="O153" s="11">
        <f>IFERROR(N153/H153,"")</f>
      </c>
      <c r="P153" s="10">
        <f>IF($A153="","",IF(COUNTIF($A$3:$A153,$A153)=1,SUMIF(cobranza!$B$3:$B$1000,$A153,cobranza!$D$3:$D$1000),"↑"))</f>
      </c>
      <c r="Q153" s="10">
        <f>IF($A153="","",IF(COUNTIF($A$3:$A153,$A153)=1,SUMIFS($H$3:$H$1000,$A$3:$A$1000,$A153,$C$3:$C$1000,"&lt;&gt;Demo")-P153,"↑"))</f>
      </c>
      <c r="R153" s="13"/>
    </row>
    <row r="154" customFormat="false" ht="15" hidden="false" customHeight="false" outlineLevel="0" collapsed="false">
      <c r="A154" s="13"/>
      <c r="B154" s="14"/>
      <c r="C154" s="13"/>
      <c r="D154" s="13">
        <f>IF(AND($A154&lt;&gt;"",$A154=$A153),D153,"")</f>
      </c>
      <c r="E154" s="13"/>
      <c r="F154" s="13"/>
      <c r="G154" s="15"/>
      <c r="H154" s="15"/>
      <c r="I154" s="16"/>
      <c r="J154" s="13"/>
      <c r="K154" s="13">
        <f>IF(AND($A154&lt;&gt;"",$A154=$A153),K153,"")</f>
      </c>
      <c r="L154" s="13">
        <f>IF(AND($A154&lt;&gt;"",$A154=$A153),L153,"")</f>
      </c>
      <c r="M154" s="13">
        <f>IF(AND($A154&lt;&gt;"",$A154=$A153),M153,"")</f>
      </c>
      <c r="N154" s="10">
        <f>IF(H154="","",H154-G154)</f>
      </c>
      <c r="O154" s="11">
        <f>IFERROR(N154/H154,"")</f>
      </c>
      <c r="P154" s="10">
        <f>IF($A154="","",IF(COUNTIF($A$3:$A154,$A154)=1,SUMIF(cobranza!$B$3:$B$1000,$A154,cobranza!$D$3:$D$1000),"↑"))</f>
      </c>
      <c r="Q154" s="10">
        <f>IF($A154="","",IF(COUNTIF($A$3:$A154,$A154)=1,SUMIFS($H$3:$H$1000,$A$3:$A$1000,$A154,$C$3:$C$1000,"&lt;&gt;Demo")-P154,"↑"))</f>
      </c>
      <c r="R154" s="13"/>
    </row>
    <row r="155" customFormat="false" ht="15" hidden="false" customHeight="false" outlineLevel="0" collapsed="false">
      <c r="A155" s="13"/>
      <c r="B155" s="14"/>
      <c r="C155" s="13"/>
      <c r="D155" s="13">
        <f>IF(AND($A155&lt;&gt;"",$A155=$A154),D154,"")</f>
      </c>
      <c r="E155" s="13"/>
      <c r="F155" s="13"/>
      <c r="G155" s="15"/>
      <c r="H155" s="15"/>
      <c r="I155" s="16"/>
      <c r="J155" s="13"/>
      <c r="K155" s="13">
        <f>IF(AND($A155&lt;&gt;"",$A155=$A154),K154,"")</f>
      </c>
      <c r="L155" s="13">
        <f>IF(AND($A155&lt;&gt;"",$A155=$A154),L154,"")</f>
      </c>
      <c r="M155" s="13">
        <f>IF(AND($A155&lt;&gt;"",$A155=$A154),M154,"")</f>
      </c>
      <c r="N155" s="10">
        <f>IF(H155="","",H155-G155)</f>
      </c>
      <c r="O155" s="11">
        <f>IFERROR(N155/H155,"")</f>
      </c>
      <c r="P155" s="10">
        <f>IF($A155="","",IF(COUNTIF($A$3:$A155,$A155)=1,SUMIF(cobranza!$B$3:$B$1000,$A155,cobranza!$D$3:$D$1000),"↑"))</f>
      </c>
      <c r="Q155" s="10">
        <f>IF($A155="","",IF(COUNTIF($A$3:$A155,$A155)=1,SUMIFS($H$3:$H$1000,$A$3:$A$1000,$A155,$C$3:$C$1000,"&lt;&gt;Demo")-P155,"↑"))</f>
      </c>
      <c r="R155" s="13"/>
    </row>
    <row r="156" customFormat="false" ht="15" hidden="false" customHeight="false" outlineLevel="0" collapsed="false">
      <c r="A156" s="13"/>
      <c r="B156" s="14"/>
      <c r="C156" s="13"/>
      <c r="D156" s="13">
        <f>IF(AND($A156&lt;&gt;"",$A156=$A155),D155,"")</f>
      </c>
      <c r="E156" s="13"/>
      <c r="F156" s="13"/>
      <c r="G156" s="15"/>
      <c r="H156" s="15"/>
      <c r="I156" s="16"/>
      <c r="J156" s="13"/>
      <c r="K156" s="13">
        <f>IF(AND($A156&lt;&gt;"",$A156=$A155),K155,"")</f>
      </c>
      <c r="L156" s="13">
        <f>IF(AND($A156&lt;&gt;"",$A156=$A155),L155,"")</f>
      </c>
      <c r="M156" s="13">
        <f>IF(AND($A156&lt;&gt;"",$A156=$A155),M155,"")</f>
      </c>
      <c r="N156" s="10">
        <f>IF(H156="","",H156-G156)</f>
      </c>
      <c r="O156" s="11">
        <f>IFERROR(N156/H156,"")</f>
      </c>
      <c r="P156" s="10">
        <f>IF($A156="","",IF(COUNTIF($A$3:$A156,$A156)=1,SUMIF(cobranza!$B$3:$B$1000,$A156,cobranza!$D$3:$D$1000),"↑"))</f>
      </c>
      <c r="Q156" s="10">
        <f>IF($A156="","",IF(COUNTIF($A$3:$A156,$A156)=1,SUMIFS($H$3:$H$1000,$A$3:$A$1000,$A156,$C$3:$C$1000,"&lt;&gt;Demo")-P156,"↑"))</f>
      </c>
      <c r="R156" s="13"/>
    </row>
    <row r="157" customFormat="false" ht="15" hidden="false" customHeight="false" outlineLevel="0" collapsed="false">
      <c r="A157" s="13"/>
      <c r="B157" s="14"/>
      <c r="C157" s="13"/>
      <c r="D157" s="13">
        <f>IF(AND($A157&lt;&gt;"",$A157=$A156),D156,"")</f>
      </c>
      <c r="E157" s="13"/>
      <c r="F157" s="13"/>
      <c r="G157" s="15"/>
      <c r="H157" s="15"/>
      <c r="I157" s="16"/>
      <c r="J157" s="13"/>
      <c r="K157" s="13">
        <f>IF(AND($A157&lt;&gt;"",$A157=$A156),K156,"")</f>
      </c>
      <c r="L157" s="13">
        <f>IF(AND($A157&lt;&gt;"",$A157=$A156),L156,"")</f>
      </c>
      <c r="M157" s="13">
        <f>IF(AND($A157&lt;&gt;"",$A157=$A156),M156,"")</f>
      </c>
      <c r="N157" s="10">
        <f>IF(H157="","",H157-G157)</f>
      </c>
      <c r="O157" s="11">
        <f>IFERROR(N157/H157,"")</f>
      </c>
      <c r="P157" s="10">
        <f>IF($A157="","",IF(COUNTIF($A$3:$A157,$A157)=1,SUMIF(cobranza!$B$3:$B$1000,$A157,cobranza!$D$3:$D$1000),"↑"))</f>
      </c>
      <c r="Q157" s="10">
        <f>IF($A157="","",IF(COUNTIF($A$3:$A157,$A157)=1,SUMIFS($H$3:$H$1000,$A$3:$A$1000,$A157,$C$3:$C$1000,"&lt;&gt;Demo")-P157,"↑"))</f>
      </c>
      <c r="R157" s="13"/>
    </row>
    <row r="158" customFormat="false" ht="15" hidden="false" customHeight="false" outlineLevel="0" collapsed="false">
      <c r="A158" s="13"/>
      <c r="B158" s="14"/>
      <c r="C158" s="13"/>
      <c r="D158" s="13">
        <f>IF(AND($A158&lt;&gt;"",$A158=$A157),D157,"")</f>
      </c>
      <c r="E158" s="13"/>
      <c r="F158" s="13"/>
      <c r="G158" s="15"/>
      <c r="H158" s="15"/>
      <c r="I158" s="16"/>
      <c r="J158" s="13"/>
      <c r="K158" s="13">
        <f>IF(AND($A158&lt;&gt;"",$A158=$A157),K157,"")</f>
      </c>
      <c r="L158" s="13">
        <f>IF(AND($A158&lt;&gt;"",$A158=$A157),L157,"")</f>
      </c>
      <c r="M158" s="13">
        <f>IF(AND($A158&lt;&gt;"",$A158=$A157),M157,"")</f>
      </c>
      <c r="N158" s="10">
        <f>IF(H158="","",H158-G158)</f>
      </c>
      <c r="O158" s="11">
        <f>IFERROR(N158/H158,"")</f>
      </c>
      <c r="P158" s="10">
        <f>IF($A158="","",IF(COUNTIF($A$3:$A158,$A158)=1,SUMIF(cobranza!$B$3:$B$1000,$A158,cobranza!$D$3:$D$1000),"↑"))</f>
      </c>
      <c r="Q158" s="10">
        <f>IF($A158="","",IF(COUNTIF($A$3:$A158,$A158)=1,SUMIFS($H$3:$H$1000,$A$3:$A$1000,$A158,$C$3:$C$1000,"&lt;&gt;Demo")-P158,"↑"))</f>
      </c>
      <c r="R158" s="13"/>
    </row>
    <row r="159" customFormat="false" ht="15" hidden="false" customHeight="false" outlineLevel="0" collapsed="false">
      <c r="A159" s="13"/>
      <c r="B159" s="14"/>
      <c r="C159" s="13"/>
      <c r="D159" s="13">
        <f>IF(AND($A159&lt;&gt;"",$A159=$A158),D158,"")</f>
      </c>
      <c r="E159" s="13"/>
      <c r="F159" s="13"/>
      <c r="G159" s="15"/>
      <c r="H159" s="15"/>
      <c r="I159" s="16"/>
      <c r="J159" s="13"/>
      <c r="K159" s="13">
        <f>IF(AND($A159&lt;&gt;"",$A159=$A158),K158,"")</f>
      </c>
      <c r="L159" s="13">
        <f>IF(AND($A159&lt;&gt;"",$A159=$A158),L158,"")</f>
      </c>
      <c r="M159" s="13">
        <f>IF(AND($A159&lt;&gt;"",$A159=$A158),M158,"")</f>
      </c>
      <c r="N159" s="10">
        <f>IF(H159="","",H159-G159)</f>
      </c>
      <c r="O159" s="11">
        <f>IFERROR(N159/H159,"")</f>
      </c>
      <c r="P159" s="10">
        <f>IF($A159="","",IF(COUNTIF($A$3:$A159,$A159)=1,SUMIF(cobranza!$B$3:$B$1000,$A159,cobranza!$D$3:$D$1000),"↑"))</f>
      </c>
      <c r="Q159" s="10">
        <f>IF($A159="","",IF(COUNTIF($A$3:$A159,$A159)=1,SUMIFS($H$3:$H$1000,$A$3:$A$1000,$A159,$C$3:$C$1000,"&lt;&gt;Demo")-P159,"↑"))</f>
      </c>
      <c r="R159" s="13"/>
    </row>
    <row r="160" customFormat="false" ht="15" hidden="false" customHeight="false" outlineLevel="0" collapsed="false">
      <c r="A160" s="13"/>
      <c r="B160" s="14"/>
      <c r="C160" s="13"/>
      <c r="D160" s="13">
        <f>IF(AND($A160&lt;&gt;"",$A160=$A159),D159,"")</f>
      </c>
      <c r="E160" s="13"/>
      <c r="F160" s="13"/>
      <c r="G160" s="15"/>
      <c r="H160" s="15"/>
      <c r="I160" s="16"/>
      <c r="J160" s="13"/>
      <c r="K160" s="13">
        <f>IF(AND($A160&lt;&gt;"",$A160=$A159),K159,"")</f>
      </c>
      <c r="L160" s="13">
        <f>IF(AND($A160&lt;&gt;"",$A160=$A159),L159,"")</f>
      </c>
      <c r="M160" s="13">
        <f>IF(AND($A160&lt;&gt;"",$A160=$A159),M159,"")</f>
      </c>
      <c r="N160" s="10">
        <f>IF(H160="","",H160-G160)</f>
      </c>
      <c r="O160" s="11">
        <f>IFERROR(N160/H160,"")</f>
      </c>
      <c r="P160" s="10">
        <f>IF($A160="","",IF(COUNTIF($A$3:$A160,$A160)=1,SUMIF(cobranza!$B$3:$B$1000,$A160,cobranza!$D$3:$D$1000),"↑"))</f>
      </c>
      <c r="Q160" s="10">
        <f>IF($A160="","",IF(COUNTIF($A$3:$A160,$A160)=1,SUMIFS($H$3:$H$1000,$A$3:$A$1000,$A160,$C$3:$C$1000,"&lt;&gt;Demo")-P160,"↑"))</f>
      </c>
      <c r="R160" s="13"/>
    </row>
    <row r="161" customFormat="false" ht="15" hidden="false" customHeight="false" outlineLevel="0" collapsed="false">
      <c r="A161" s="13"/>
      <c r="B161" s="14"/>
      <c r="C161" s="13"/>
      <c r="D161" s="13">
        <f>IF(AND($A161&lt;&gt;"",$A161=$A160),D160,"")</f>
      </c>
      <c r="E161" s="13"/>
      <c r="F161" s="13"/>
      <c r="G161" s="15"/>
      <c r="H161" s="15"/>
      <c r="I161" s="16"/>
      <c r="J161" s="13"/>
      <c r="K161" s="13">
        <f>IF(AND($A161&lt;&gt;"",$A161=$A160),K160,"")</f>
      </c>
      <c r="L161" s="13">
        <f>IF(AND($A161&lt;&gt;"",$A161=$A160),L160,"")</f>
      </c>
      <c r="M161" s="13">
        <f>IF(AND($A161&lt;&gt;"",$A161=$A160),M160,"")</f>
      </c>
      <c r="N161" s="10">
        <f>IF(H161="","",H161-G161)</f>
      </c>
      <c r="O161" s="11">
        <f>IFERROR(N161/H161,"")</f>
      </c>
      <c r="P161" s="10">
        <f>IF($A161="","",IF(COUNTIF($A$3:$A161,$A161)=1,SUMIF(cobranza!$B$3:$B$1000,$A161,cobranza!$D$3:$D$1000),"↑"))</f>
      </c>
      <c r="Q161" s="10">
        <f>IF($A161="","",IF(COUNTIF($A$3:$A161,$A161)=1,SUMIFS($H$3:$H$1000,$A$3:$A$1000,$A161,$C$3:$C$1000,"&lt;&gt;Demo")-P161,"↑"))</f>
      </c>
      <c r="R161" s="13"/>
    </row>
    <row r="162" customFormat="false" ht="15" hidden="false" customHeight="false" outlineLevel="0" collapsed="false">
      <c r="A162" s="13"/>
      <c r="B162" s="14"/>
      <c r="C162" s="13"/>
      <c r="D162" s="13">
        <f>IF(AND($A162&lt;&gt;"",$A162=$A161),D161,"")</f>
      </c>
      <c r="E162" s="13"/>
      <c r="F162" s="13"/>
      <c r="G162" s="15"/>
      <c r="H162" s="15"/>
      <c r="I162" s="16"/>
      <c r="J162" s="13"/>
      <c r="K162" s="13">
        <f>IF(AND($A162&lt;&gt;"",$A162=$A161),K161,"")</f>
      </c>
      <c r="L162" s="13">
        <f>IF(AND($A162&lt;&gt;"",$A162=$A161),L161,"")</f>
      </c>
      <c r="M162" s="13">
        <f>IF(AND($A162&lt;&gt;"",$A162=$A161),M161,"")</f>
      </c>
      <c r="N162" s="10">
        <f>IF(H162="","",H162-G162)</f>
      </c>
      <c r="O162" s="11">
        <f>IFERROR(N162/H162,"")</f>
      </c>
      <c r="P162" s="10">
        <f>IF($A162="","",IF(COUNTIF($A$3:$A162,$A162)=1,SUMIF(cobranza!$B$3:$B$1000,$A162,cobranza!$D$3:$D$1000),"↑"))</f>
      </c>
      <c r="Q162" s="10">
        <f>IF($A162="","",IF(COUNTIF($A$3:$A162,$A162)=1,SUMIFS($H$3:$H$1000,$A$3:$A$1000,$A162,$C$3:$C$1000,"&lt;&gt;Demo")-P162,"↑"))</f>
      </c>
      <c r="R162" s="13"/>
    </row>
    <row r="163" customFormat="false" ht="15" hidden="false" customHeight="false" outlineLevel="0" collapsed="false">
      <c r="A163" s="13"/>
      <c r="B163" s="14"/>
      <c r="C163" s="13"/>
      <c r="D163" s="13">
        <f>IF(AND($A163&lt;&gt;"",$A163=$A162),D162,"")</f>
      </c>
      <c r="E163" s="13"/>
      <c r="F163" s="13"/>
      <c r="G163" s="15"/>
      <c r="H163" s="15"/>
      <c r="I163" s="16"/>
      <c r="J163" s="13"/>
      <c r="K163" s="13">
        <f>IF(AND($A163&lt;&gt;"",$A163=$A162),K162,"")</f>
      </c>
      <c r="L163" s="13">
        <f>IF(AND($A163&lt;&gt;"",$A163=$A162),L162,"")</f>
      </c>
      <c r="M163" s="13">
        <f>IF(AND($A163&lt;&gt;"",$A163=$A162),M162,"")</f>
      </c>
      <c r="N163" s="10">
        <f>IF(H163="","",H163-G163)</f>
      </c>
      <c r="O163" s="11">
        <f>IFERROR(N163/H163,"")</f>
      </c>
      <c r="P163" s="10">
        <f>IF($A163="","",IF(COUNTIF($A$3:$A163,$A163)=1,SUMIF(cobranza!$B$3:$B$1000,$A163,cobranza!$D$3:$D$1000),"↑"))</f>
      </c>
      <c r="Q163" s="10">
        <f>IF($A163="","",IF(COUNTIF($A$3:$A163,$A163)=1,SUMIFS($H$3:$H$1000,$A$3:$A$1000,$A163,$C$3:$C$1000,"&lt;&gt;Demo")-P163,"↑"))</f>
      </c>
      <c r="R163" s="13"/>
    </row>
    <row r="164" customFormat="false" ht="15" hidden="false" customHeight="false" outlineLevel="0" collapsed="false">
      <c r="A164" s="13"/>
      <c r="B164" s="14"/>
      <c r="C164" s="13"/>
      <c r="D164" s="13">
        <f>IF(AND($A164&lt;&gt;"",$A164=$A163),D163,"")</f>
      </c>
      <c r="E164" s="13"/>
      <c r="F164" s="13"/>
      <c r="G164" s="15"/>
      <c r="H164" s="15"/>
      <c r="I164" s="16"/>
      <c r="J164" s="13"/>
      <c r="K164" s="13">
        <f>IF(AND($A164&lt;&gt;"",$A164=$A163),K163,"")</f>
      </c>
      <c r="L164" s="13">
        <f>IF(AND($A164&lt;&gt;"",$A164=$A163),L163,"")</f>
      </c>
      <c r="M164" s="13">
        <f>IF(AND($A164&lt;&gt;"",$A164=$A163),M163,"")</f>
      </c>
      <c r="N164" s="10">
        <f>IF(H164="","",H164-G164)</f>
      </c>
      <c r="O164" s="11">
        <f>IFERROR(N164/H164,"")</f>
      </c>
      <c r="P164" s="10">
        <f>IF($A164="","",IF(COUNTIF($A$3:$A164,$A164)=1,SUMIF(cobranza!$B$3:$B$1000,$A164,cobranza!$D$3:$D$1000),"↑"))</f>
      </c>
      <c r="Q164" s="10">
        <f>IF($A164="","",IF(COUNTIF($A$3:$A164,$A164)=1,SUMIFS($H$3:$H$1000,$A$3:$A$1000,$A164,$C$3:$C$1000,"&lt;&gt;Demo")-P164,"↑"))</f>
      </c>
      <c r="R164" s="13"/>
    </row>
    <row r="165" customFormat="false" ht="15" hidden="false" customHeight="false" outlineLevel="0" collapsed="false">
      <c r="A165" s="13"/>
      <c r="B165" s="14"/>
      <c r="C165" s="13"/>
      <c r="D165" s="13">
        <f>IF(AND($A165&lt;&gt;"",$A165=$A164),D164,"")</f>
      </c>
      <c r="E165" s="13"/>
      <c r="F165" s="13"/>
      <c r="G165" s="15"/>
      <c r="H165" s="15"/>
      <c r="I165" s="16"/>
      <c r="J165" s="13"/>
      <c r="K165" s="13">
        <f>IF(AND($A165&lt;&gt;"",$A165=$A164),K164,"")</f>
      </c>
      <c r="L165" s="13">
        <f>IF(AND($A165&lt;&gt;"",$A165=$A164),L164,"")</f>
      </c>
      <c r="M165" s="13">
        <f>IF(AND($A165&lt;&gt;"",$A165=$A164),M164,"")</f>
      </c>
      <c r="N165" s="10">
        <f>IF(H165="","",H165-G165)</f>
      </c>
      <c r="O165" s="11">
        <f>IFERROR(N165/H165,"")</f>
      </c>
      <c r="P165" s="10">
        <f>IF($A165="","",IF(COUNTIF($A$3:$A165,$A165)=1,SUMIF(cobranza!$B$3:$B$1000,$A165,cobranza!$D$3:$D$1000),"↑"))</f>
      </c>
      <c r="Q165" s="10">
        <f>IF($A165="","",IF(COUNTIF($A$3:$A165,$A165)=1,SUMIFS($H$3:$H$1000,$A$3:$A$1000,$A165,$C$3:$C$1000,"&lt;&gt;Demo")-P165,"↑"))</f>
      </c>
      <c r="R165" s="13"/>
    </row>
    <row r="166" customFormat="false" ht="15" hidden="false" customHeight="false" outlineLevel="0" collapsed="false">
      <c r="A166" s="13"/>
      <c r="B166" s="14"/>
      <c r="C166" s="13"/>
      <c r="D166" s="13">
        <f>IF(AND($A166&lt;&gt;"",$A166=$A165),D165,"")</f>
      </c>
      <c r="E166" s="13"/>
      <c r="F166" s="13"/>
      <c r="G166" s="15"/>
      <c r="H166" s="15"/>
      <c r="I166" s="16"/>
      <c r="J166" s="13"/>
      <c r="K166" s="13">
        <f>IF(AND($A166&lt;&gt;"",$A166=$A165),K165,"")</f>
      </c>
      <c r="L166" s="13">
        <f>IF(AND($A166&lt;&gt;"",$A166=$A165),L165,"")</f>
      </c>
      <c r="M166" s="13">
        <f>IF(AND($A166&lt;&gt;"",$A166=$A165),M165,"")</f>
      </c>
      <c r="N166" s="10">
        <f>IF(H166="","",H166-G166)</f>
      </c>
      <c r="O166" s="11">
        <f>IFERROR(N166/H166,"")</f>
      </c>
      <c r="P166" s="10">
        <f>IF($A166="","",IF(COUNTIF($A$3:$A166,$A166)=1,SUMIF(cobranza!$B$3:$B$1000,$A166,cobranza!$D$3:$D$1000),"↑"))</f>
      </c>
      <c r="Q166" s="10">
        <f>IF($A166="","",IF(COUNTIF($A$3:$A166,$A166)=1,SUMIFS($H$3:$H$1000,$A$3:$A$1000,$A166,$C$3:$C$1000,"&lt;&gt;Demo")-P166,"↑"))</f>
      </c>
      <c r="R166" s="13"/>
    </row>
    <row r="167" customFormat="false" ht="15" hidden="false" customHeight="false" outlineLevel="0" collapsed="false">
      <c r="A167" s="13"/>
      <c r="B167" s="14"/>
      <c r="C167" s="13"/>
      <c r="D167" s="13">
        <f>IF(AND($A167&lt;&gt;"",$A167=$A166),D166,"")</f>
      </c>
      <c r="E167" s="13"/>
      <c r="F167" s="13"/>
      <c r="G167" s="15"/>
      <c r="H167" s="15"/>
      <c r="I167" s="16"/>
      <c r="J167" s="13"/>
      <c r="K167" s="13">
        <f>IF(AND($A167&lt;&gt;"",$A167=$A166),K166,"")</f>
      </c>
      <c r="L167" s="13">
        <f>IF(AND($A167&lt;&gt;"",$A167=$A166),L166,"")</f>
      </c>
      <c r="M167" s="13">
        <f>IF(AND($A167&lt;&gt;"",$A167=$A166),M166,"")</f>
      </c>
      <c r="N167" s="10">
        <f>IF(H167="","",H167-G167)</f>
      </c>
      <c r="O167" s="11">
        <f>IFERROR(N167/H167,"")</f>
      </c>
      <c r="P167" s="10">
        <f>IF($A167="","",IF(COUNTIF($A$3:$A167,$A167)=1,SUMIF(cobranza!$B$3:$B$1000,$A167,cobranza!$D$3:$D$1000),"↑"))</f>
      </c>
      <c r="Q167" s="10">
        <f>IF($A167="","",IF(COUNTIF($A$3:$A167,$A167)=1,SUMIFS($H$3:$H$1000,$A$3:$A$1000,$A167,$C$3:$C$1000,"&lt;&gt;Demo")-P167,"↑"))</f>
      </c>
      <c r="R167" s="13"/>
    </row>
    <row r="168" customFormat="false" ht="15" hidden="false" customHeight="false" outlineLevel="0" collapsed="false">
      <c r="A168" s="13"/>
      <c r="B168" s="14"/>
      <c r="C168" s="13"/>
      <c r="D168" s="13">
        <f>IF(AND($A168&lt;&gt;"",$A168=$A167),D167,"")</f>
      </c>
      <c r="E168" s="13"/>
      <c r="F168" s="13"/>
      <c r="G168" s="15"/>
      <c r="H168" s="15"/>
      <c r="I168" s="16"/>
      <c r="J168" s="13"/>
      <c r="K168" s="13">
        <f>IF(AND($A168&lt;&gt;"",$A168=$A167),K167,"")</f>
      </c>
      <c r="L168" s="13">
        <f>IF(AND($A168&lt;&gt;"",$A168=$A167),L167,"")</f>
      </c>
      <c r="M168" s="13">
        <f>IF(AND($A168&lt;&gt;"",$A168=$A167),M167,"")</f>
      </c>
      <c r="N168" s="10">
        <f>IF(H168="","",H168-G168)</f>
      </c>
      <c r="O168" s="11">
        <f>IFERROR(N168/H168,"")</f>
      </c>
      <c r="P168" s="10">
        <f>IF($A168="","",IF(COUNTIF($A$3:$A168,$A168)=1,SUMIF(cobranza!$B$3:$B$1000,$A168,cobranza!$D$3:$D$1000),"↑"))</f>
      </c>
      <c r="Q168" s="10">
        <f>IF($A168="","",IF(COUNTIF($A$3:$A168,$A168)=1,SUMIFS($H$3:$H$1000,$A$3:$A$1000,$A168,$C$3:$C$1000,"&lt;&gt;Demo")-P168,"↑"))</f>
      </c>
      <c r="R168" s="13"/>
    </row>
    <row r="169" customFormat="false" ht="15" hidden="false" customHeight="false" outlineLevel="0" collapsed="false">
      <c r="A169" s="13"/>
      <c r="B169" s="14"/>
      <c r="C169" s="13"/>
      <c r="D169" s="13">
        <f>IF(AND($A169&lt;&gt;"",$A169=$A168),D168,"")</f>
      </c>
      <c r="E169" s="13"/>
      <c r="F169" s="13"/>
      <c r="G169" s="15"/>
      <c r="H169" s="15"/>
      <c r="I169" s="16"/>
      <c r="J169" s="13"/>
      <c r="K169" s="13">
        <f>IF(AND($A169&lt;&gt;"",$A169=$A168),K168,"")</f>
      </c>
      <c r="L169" s="13">
        <f>IF(AND($A169&lt;&gt;"",$A169=$A168),L168,"")</f>
      </c>
      <c r="M169" s="13">
        <f>IF(AND($A169&lt;&gt;"",$A169=$A168),M168,"")</f>
      </c>
      <c r="N169" s="10">
        <f>IF(H169="","",H169-G169)</f>
      </c>
      <c r="O169" s="11">
        <f>IFERROR(N169/H169,"")</f>
      </c>
      <c r="P169" s="10">
        <f>IF($A169="","",IF(COUNTIF($A$3:$A169,$A169)=1,SUMIF(cobranza!$B$3:$B$1000,$A169,cobranza!$D$3:$D$1000),"↑"))</f>
      </c>
      <c r="Q169" s="10">
        <f>IF($A169="","",IF(COUNTIF($A$3:$A169,$A169)=1,SUMIFS($H$3:$H$1000,$A$3:$A$1000,$A169,$C$3:$C$1000,"&lt;&gt;Demo")-P169,"↑"))</f>
      </c>
      <c r="R169" s="13"/>
    </row>
    <row r="170" customFormat="false" ht="15" hidden="false" customHeight="false" outlineLevel="0" collapsed="false">
      <c r="A170" s="13"/>
      <c r="B170" s="14"/>
      <c r="C170" s="13"/>
      <c r="D170" s="13">
        <f>IF(AND($A170&lt;&gt;"",$A170=$A169),D169,"")</f>
      </c>
      <c r="E170" s="13"/>
      <c r="F170" s="13"/>
      <c r="G170" s="15"/>
      <c r="H170" s="15"/>
      <c r="I170" s="16"/>
      <c r="J170" s="13"/>
      <c r="K170" s="13">
        <f>IF(AND($A170&lt;&gt;"",$A170=$A169),K169,"")</f>
      </c>
      <c r="L170" s="13">
        <f>IF(AND($A170&lt;&gt;"",$A170=$A169),L169,"")</f>
      </c>
      <c r="M170" s="13">
        <f>IF(AND($A170&lt;&gt;"",$A170=$A169),M169,"")</f>
      </c>
      <c r="N170" s="10">
        <f>IF(H170="","",H170-G170)</f>
      </c>
      <c r="O170" s="11">
        <f>IFERROR(N170/H170,"")</f>
      </c>
      <c r="P170" s="10">
        <f>IF($A170="","",IF(COUNTIF($A$3:$A170,$A170)=1,SUMIF(cobranza!$B$3:$B$1000,$A170,cobranza!$D$3:$D$1000),"↑"))</f>
      </c>
      <c r="Q170" s="10">
        <f>IF($A170="","",IF(COUNTIF($A$3:$A170,$A170)=1,SUMIFS($H$3:$H$1000,$A$3:$A$1000,$A170,$C$3:$C$1000,"&lt;&gt;Demo")-P170,"↑"))</f>
      </c>
      <c r="R170" s="13"/>
    </row>
    <row r="171" customFormat="false" ht="15" hidden="false" customHeight="false" outlineLevel="0" collapsed="false">
      <c r="A171" s="13"/>
      <c r="B171" s="14"/>
      <c r="C171" s="13"/>
      <c r="D171" s="13">
        <f>IF(AND($A171&lt;&gt;"",$A171=$A170),D170,"")</f>
      </c>
      <c r="E171" s="13"/>
      <c r="F171" s="13"/>
      <c r="G171" s="15"/>
      <c r="H171" s="15"/>
      <c r="I171" s="16"/>
      <c r="J171" s="13"/>
      <c r="K171" s="13">
        <f>IF(AND($A171&lt;&gt;"",$A171=$A170),K170,"")</f>
      </c>
      <c r="L171" s="13">
        <f>IF(AND($A171&lt;&gt;"",$A171=$A170),L170,"")</f>
      </c>
      <c r="M171" s="13">
        <f>IF(AND($A171&lt;&gt;"",$A171=$A170),M170,"")</f>
      </c>
      <c r="N171" s="10">
        <f>IF(H171="","",H171-G171)</f>
      </c>
      <c r="O171" s="11">
        <f>IFERROR(N171/H171,"")</f>
      </c>
      <c r="P171" s="10">
        <f>IF($A171="","",IF(COUNTIF($A$3:$A171,$A171)=1,SUMIF(cobranza!$B$3:$B$1000,$A171,cobranza!$D$3:$D$1000),"↑"))</f>
      </c>
      <c r="Q171" s="10">
        <f>IF($A171="","",IF(COUNTIF($A$3:$A171,$A171)=1,SUMIFS($H$3:$H$1000,$A$3:$A$1000,$A171,$C$3:$C$1000,"&lt;&gt;Demo")-P171,"↑"))</f>
      </c>
      <c r="R171" s="13"/>
    </row>
    <row r="172" customFormat="false" ht="15" hidden="false" customHeight="false" outlineLevel="0" collapsed="false">
      <c r="A172" s="13"/>
      <c r="B172" s="14"/>
      <c r="C172" s="13"/>
      <c r="D172" s="13">
        <f>IF(AND($A172&lt;&gt;"",$A172=$A171),D171,"")</f>
      </c>
      <c r="E172" s="13"/>
      <c r="F172" s="13"/>
      <c r="G172" s="15"/>
      <c r="H172" s="15"/>
      <c r="I172" s="16"/>
      <c r="J172" s="13"/>
      <c r="K172" s="13">
        <f>IF(AND($A172&lt;&gt;"",$A172=$A171),K171,"")</f>
      </c>
      <c r="L172" s="13">
        <f>IF(AND($A172&lt;&gt;"",$A172=$A171),L171,"")</f>
      </c>
      <c r="M172" s="13">
        <f>IF(AND($A172&lt;&gt;"",$A172=$A171),M171,"")</f>
      </c>
      <c r="N172" s="10">
        <f>IF(H172="","",H172-G172)</f>
      </c>
      <c r="O172" s="11">
        <f>IFERROR(N172/H172,"")</f>
      </c>
      <c r="P172" s="10">
        <f>IF($A172="","",IF(COUNTIF($A$3:$A172,$A172)=1,SUMIF(cobranza!$B$3:$B$1000,$A172,cobranza!$D$3:$D$1000),"↑"))</f>
      </c>
      <c r="Q172" s="10">
        <f>IF($A172="","",IF(COUNTIF($A$3:$A172,$A172)=1,SUMIFS($H$3:$H$1000,$A$3:$A$1000,$A172,$C$3:$C$1000,"&lt;&gt;Demo")-P172,"↑"))</f>
      </c>
      <c r="R172" s="13"/>
    </row>
    <row r="173" customFormat="false" ht="15" hidden="false" customHeight="false" outlineLevel="0" collapsed="false">
      <c r="A173" s="13"/>
      <c r="B173" s="14"/>
      <c r="C173" s="13"/>
      <c r="D173" s="13">
        <f>IF(AND($A173&lt;&gt;"",$A173=$A172),D172,"")</f>
      </c>
      <c r="E173" s="13"/>
      <c r="F173" s="13"/>
      <c r="G173" s="15"/>
      <c r="H173" s="15"/>
      <c r="I173" s="16"/>
      <c r="J173" s="13"/>
      <c r="K173" s="13">
        <f>IF(AND($A173&lt;&gt;"",$A173=$A172),K172,"")</f>
      </c>
      <c r="L173" s="13">
        <f>IF(AND($A173&lt;&gt;"",$A173=$A172),L172,"")</f>
      </c>
      <c r="M173" s="13">
        <f>IF(AND($A173&lt;&gt;"",$A173=$A172),M172,"")</f>
      </c>
      <c r="N173" s="10">
        <f>IF(H173="","",H173-G173)</f>
      </c>
      <c r="O173" s="11">
        <f>IFERROR(N173/H173,"")</f>
      </c>
      <c r="P173" s="10">
        <f>IF($A173="","",IF(COUNTIF($A$3:$A173,$A173)=1,SUMIF(cobranza!$B$3:$B$1000,$A173,cobranza!$D$3:$D$1000),"↑"))</f>
      </c>
      <c r="Q173" s="10">
        <f>IF($A173="","",IF(COUNTIF($A$3:$A173,$A173)=1,SUMIFS($H$3:$H$1000,$A$3:$A$1000,$A173,$C$3:$C$1000,"&lt;&gt;Demo")-P173,"↑"))</f>
      </c>
      <c r="R173" s="13"/>
    </row>
    <row r="174" customFormat="false" ht="15" hidden="false" customHeight="false" outlineLevel="0" collapsed="false">
      <c r="A174" s="13"/>
      <c r="B174" s="14"/>
      <c r="C174" s="13"/>
      <c r="D174" s="13">
        <f>IF(AND($A174&lt;&gt;"",$A174=$A173),D173,"")</f>
      </c>
      <c r="E174" s="13"/>
      <c r="F174" s="13"/>
      <c r="G174" s="15"/>
      <c r="H174" s="15"/>
      <c r="I174" s="16"/>
      <c r="J174" s="13"/>
      <c r="K174" s="13">
        <f>IF(AND($A174&lt;&gt;"",$A174=$A173),K173,"")</f>
      </c>
      <c r="L174" s="13">
        <f>IF(AND($A174&lt;&gt;"",$A174=$A173),L173,"")</f>
      </c>
      <c r="M174" s="13">
        <f>IF(AND($A174&lt;&gt;"",$A174=$A173),M173,"")</f>
      </c>
      <c r="N174" s="10">
        <f>IF(H174="","",H174-G174)</f>
      </c>
      <c r="O174" s="11">
        <f>IFERROR(N174/H174,"")</f>
      </c>
      <c r="P174" s="10">
        <f>IF($A174="","",IF(COUNTIF($A$3:$A174,$A174)=1,SUMIF(cobranza!$B$3:$B$1000,$A174,cobranza!$D$3:$D$1000),"↑"))</f>
      </c>
      <c r="Q174" s="10">
        <f>IF($A174="","",IF(COUNTIF($A$3:$A174,$A174)=1,SUMIFS($H$3:$H$1000,$A$3:$A$1000,$A174,$C$3:$C$1000,"&lt;&gt;Demo")-P174,"↑"))</f>
      </c>
      <c r="R174" s="13"/>
    </row>
    <row r="175" customFormat="false" ht="15" hidden="false" customHeight="false" outlineLevel="0" collapsed="false">
      <c r="A175" s="13"/>
      <c r="B175" s="14"/>
      <c r="C175" s="13"/>
      <c r="D175" s="13">
        <f>IF(AND($A175&lt;&gt;"",$A175=$A174),D174,"")</f>
      </c>
      <c r="E175" s="13"/>
      <c r="F175" s="13"/>
      <c r="G175" s="15"/>
      <c r="H175" s="15"/>
      <c r="I175" s="16"/>
      <c r="J175" s="13"/>
      <c r="K175" s="13">
        <f>IF(AND($A175&lt;&gt;"",$A175=$A174),K174,"")</f>
      </c>
      <c r="L175" s="13">
        <f>IF(AND($A175&lt;&gt;"",$A175=$A174),L174,"")</f>
      </c>
      <c r="M175" s="13">
        <f>IF(AND($A175&lt;&gt;"",$A175=$A174),M174,"")</f>
      </c>
      <c r="N175" s="10">
        <f>IF(H175="","",H175-G175)</f>
      </c>
      <c r="O175" s="11">
        <f>IFERROR(N175/H175,"")</f>
      </c>
      <c r="P175" s="10">
        <f>IF($A175="","",IF(COUNTIF($A$3:$A175,$A175)=1,SUMIF(cobranza!$B$3:$B$1000,$A175,cobranza!$D$3:$D$1000),"↑"))</f>
      </c>
      <c r="Q175" s="10">
        <f>IF($A175="","",IF(COUNTIF($A$3:$A175,$A175)=1,SUMIFS($H$3:$H$1000,$A$3:$A$1000,$A175,$C$3:$C$1000,"&lt;&gt;Demo")-P175,"↑"))</f>
      </c>
      <c r="R175" s="13"/>
    </row>
    <row r="176" customFormat="false" ht="15" hidden="false" customHeight="false" outlineLevel="0" collapsed="false">
      <c r="A176" s="13"/>
      <c r="B176" s="14"/>
      <c r="C176" s="13"/>
      <c r="D176" s="13">
        <f>IF(AND($A176&lt;&gt;"",$A176=$A175),D175,"")</f>
      </c>
      <c r="E176" s="13"/>
      <c r="F176" s="13"/>
      <c r="G176" s="15"/>
      <c r="H176" s="15"/>
      <c r="I176" s="16"/>
      <c r="J176" s="13"/>
      <c r="K176" s="13">
        <f>IF(AND($A176&lt;&gt;"",$A176=$A175),K175,"")</f>
      </c>
      <c r="L176" s="13">
        <f>IF(AND($A176&lt;&gt;"",$A176=$A175),L175,"")</f>
      </c>
      <c r="M176" s="13">
        <f>IF(AND($A176&lt;&gt;"",$A176=$A175),M175,"")</f>
      </c>
      <c r="N176" s="10">
        <f>IF(H176="","",H176-G176)</f>
      </c>
      <c r="O176" s="11">
        <f>IFERROR(N176/H176,"")</f>
      </c>
      <c r="P176" s="10">
        <f>IF($A176="","",IF(COUNTIF($A$3:$A176,$A176)=1,SUMIF(cobranza!$B$3:$B$1000,$A176,cobranza!$D$3:$D$1000),"↑"))</f>
      </c>
      <c r="Q176" s="10">
        <f>IF($A176="","",IF(COUNTIF($A$3:$A176,$A176)=1,SUMIFS($H$3:$H$1000,$A$3:$A$1000,$A176,$C$3:$C$1000,"&lt;&gt;Demo")-P176,"↑"))</f>
      </c>
      <c r="R176" s="13"/>
    </row>
    <row r="177" customFormat="false" ht="15" hidden="false" customHeight="false" outlineLevel="0" collapsed="false">
      <c r="A177" s="13"/>
      <c r="B177" s="14"/>
      <c r="C177" s="13"/>
      <c r="D177" s="13">
        <f>IF(AND($A177&lt;&gt;"",$A177=$A176),D176,"")</f>
      </c>
      <c r="E177" s="13"/>
      <c r="F177" s="13"/>
      <c r="G177" s="15"/>
      <c r="H177" s="15"/>
      <c r="I177" s="16"/>
      <c r="J177" s="13"/>
      <c r="K177" s="13">
        <f>IF(AND($A177&lt;&gt;"",$A177=$A176),K176,"")</f>
      </c>
      <c r="L177" s="13">
        <f>IF(AND($A177&lt;&gt;"",$A177=$A176),L176,"")</f>
      </c>
      <c r="M177" s="13">
        <f>IF(AND($A177&lt;&gt;"",$A177=$A176),M176,"")</f>
      </c>
      <c r="N177" s="10">
        <f>IF(H177="","",H177-G177)</f>
      </c>
      <c r="O177" s="11">
        <f>IFERROR(N177/H177,"")</f>
      </c>
      <c r="P177" s="10">
        <f>IF($A177="","",IF(COUNTIF($A$3:$A177,$A177)=1,SUMIF(cobranza!$B$3:$B$1000,$A177,cobranza!$D$3:$D$1000),"↑"))</f>
      </c>
      <c r="Q177" s="10">
        <f>IF($A177="","",IF(COUNTIF($A$3:$A177,$A177)=1,SUMIFS($H$3:$H$1000,$A$3:$A$1000,$A177,$C$3:$C$1000,"&lt;&gt;Demo")-P177,"↑"))</f>
      </c>
      <c r="R177" s="13"/>
    </row>
    <row r="178" customFormat="false" ht="15" hidden="false" customHeight="false" outlineLevel="0" collapsed="false">
      <c r="A178" s="13"/>
      <c r="B178" s="14"/>
      <c r="C178" s="13"/>
      <c r="D178" s="13">
        <f>IF(AND($A178&lt;&gt;"",$A178=$A177),D177,"")</f>
      </c>
      <c r="E178" s="13"/>
      <c r="F178" s="13"/>
      <c r="G178" s="15"/>
      <c r="H178" s="15"/>
      <c r="I178" s="16"/>
      <c r="J178" s="13"/>
      <c r="K178" s="13">
        <f>IF(AND($A178&lt;&gt;"",$A178=$A177),K177,"")</f>
      </c>
      <c r="L178" s="13">
        <f>IF(AND($A178&lt;&gt;"",$A178=$A177),L177,"")</f>
      </c>
      <c r="M178" s="13">
        <f>IF(AND($A178&lt;&gt;"",$A178=$A177),M177,"")</f>
      </c>
      <c r="N178" s="10">
        <f>IF(H178="","",H178-G178)</f>
      </c>
      <c r="O178" s="11">
        <f>IFERROR(N178/H178,"")</f>
      </c>
      <c r="P178" s="10">
        <f>IF($A178="","",IF(COUNTIF($A$3:$A178,$A178)=1,SUMIF(cobranza!$B$3:$B$1000,$A178,cobranza!$D$3:$D$1000),"↑"))</f>
      </c>
      <c r="Q178" s="10">
        <f>IF($A178="","",IF(COUNTIF($A$3:$A178,$A178)=1,SUMIFS($H$3:$H$1000,$A$3:$A$1000,$A178,$C$3:$C$1000,"&lt;&gt;Demo")-P178,"↑"))</f>
      </c>
      <c r="R178" s="13"/>
    </row>
    <row r="179" customFormat="false" ht="15" hidden="false" customHeight="false" outlineLevel="0" collapsed="false">
      <c r="A179" s="13"/>
      <c r="B179" s="14"/>
      <c r="C179" s="13"/>
      <c r="D179" s="13">
        <f>IF(AND($A179&lt;&gt;"",$A179=$A178),D178,"")</f>
      </c>
      <c r="E179" s="13"/>
      <c r="F179" s="13"/>
      <c r="G179" s="15"/>
      <c r="H179" s="15"/>
      <c r="I179" s="16"/>
      <c r="J179" s="13"/>
      <c r="K179" s="13">
        <f>IF(AND($A179&lt;&gt;"",$A179=$A178),K178,"")</f>
      </c>
      <c r="L179" s="13">
        <f>IF(AND($A179&lt;&gt;"",$A179=$A178),L178,"")</f>
      </c>
      <c r="M179" s="13">
        <f>IF(AND($A179&lt;&gt;"",$A179=$A178),M178,"")</f>
      </c>
      <c r="N179" s="10">
        <f>IF(H179="","",H179-G179)</f>
      </c>
      <c r="O179" s="11">
        <f>IFERROR(N179/H179,"")</f>
      </c>
      <c r="P179" s="10">
        <f>IF($A179="","",IF(COUNTIF($A$3:$A179,$A179)=1,SUMIF(cobranza!$B$3:$B$1000,$A179,cobranza!$D$3:$D$1000),"↑"))</f>
      </c>
      <c r="Q179" s="10">
        <f>IF($A179="","",IF(COUNTIF($A$3:$A179,$A179)=1,SUMIFS($H$3:$H$1000,$A$3:$A$1000,$A179,$C$3:$C$1000,"&lt;&gt;Demo")-P179,"↑"))</f>
      </c>
      <c r="R179" s="13"/>
    </row>
    <row r="180" customFormat="false" ht="15" hidden="false" customHeight="false" outlineLevel="0" collapsed="false">
      <c r="A180" s="13"/>
      <c r="B180" s="14"/>
      <c r="C180" s="13"/>
      <c r="D180" s="13">
        <f>IF(AND($A180&lt;&gt;"",$A180=$A179),D179,"")</f>
      </c>
      <c r="E180" s="13"/>
      <c r="F180" s="13"/>
      <c r="G180" s="15"/>
      <c r="H180" s="15"/>
      <c r="I180" s="16"/>
      <c r="J180" s="13"/>
      <c r="K180" s="13">
        <f>IF(AND($A180&lt;&gt;"",$A180=$A179),K179,"")</f>
      </c>
      <c r="L180" s="13">
        <f>IF(AND($A180&lt;&gt;"",$A180=$A179),L179,"")</f>
      </c>
      <c r="M180" s="13">
        <f>IF(AND($A180&lt;&gt;"",$A180=$A179),M179,"")</f>
      </c>
      <c r="N180" s="10">
        <f>IF(H180="","",H180-G180)</f>
      </c>
      <c r="O180" s="11">
        <f>IFERROR(N180/H180,"")</f>
      </c>
      <c r="P180" s="10">
        <f>IF($A180="","",IF(COUNTIF($A$3:$A180,$A180)=1,SUMIF(cobranza!$B$3:$B$1000,$A180,cobranza!$D$3:$D$1000),"↑"))</f>
      </c>
      <c r="Q180" s="10">
        <f>IF($A180="","",IF(COUNTIF($A$3:$A180,$A180)=1,SUMIFS($H$3:$H$1000,$A$3:$A$1000,$A180,$C$3:$C$1000,"&lt;&gt;Demo")-P180,"↑"))</f>
      </c>
      <c r="R180" s="13"/>
    </row>
    <row r="181" customFormat="false" ht="15" hidden="false" customHeight="false" outlineLevel="0" collapsed="false">
      <c r="A181" s="13"/>
      <c r="B181" s="14"/>
      <c r="C181" s="13"/>
      <c r="D181" s="13">
        <f>IF(AND($A181&lt;&gt;"",$A181=$A180),D180,"")</f>
      </c>
      <c r="E181" s="13"/>
      <c r="F181" s="13"/>
      <c r="G181" s="15"/>
      <c r="H181" s="15"/>
      <c r="I181" s="16"/>
      <c r="J181" s="13"/>
      <c r="K181" s="13">
        <f>IF(AND($A181&lt;&gt;"",$A181=$A180),K180,"")</f>
      </c>
      <c r="L181" s="13">
        <f>IF(AND($A181&lt;&gt;"",$A181=$A180),L180,"")</f>
      </c>
      <c r="M181" s="13">
        <f>IF(AND($A181&lt;&gt;"",$A181=$A180),M180,"")</f>
      </c>
      <c r="N181" s="10">
        <f>IF(H181="","",H181-G181)</f>
      </c>
      <c r="O181" s="11">
        <f>IFERROR(N181/H181,"")</f>
      </c>
      <c r="P181" s="10">
        <f>IF($A181="","",IF(COUNTIF($A$3:$A181,$A181)=1,SUMIF(cobranza!$B$3:$B$1000,$A181,cobranza!$D$3:$D$1000),"↑"))</f>
      </c>
      <c r="Q181" s="10">
        <f>IF($A181="","",IF(COUNTIF($A$3:$A181,$A181)=1,SUMIFS($H$3:$H$1000,$A$3:$A$1000,$A181,$C$3:$C$1000,"&lt;&gt;Demo")-P181,"↑"))</f>
      </c>
      <c r="R181" s="13"/>
    </row>
    <row r="182" customFormat="false" ht="15" hidden="false" customHeight="false" outlineLevel="0" collapsed="false">
      <c r="A182" s="13"/>
      <c r="B182" s="14"/>
      <c r="C182" s="13"/>
      <c r="D182" s="13">
        <f>IF(AND($A182&lt;&gt;"",$A182=$A181),D181,"")</f>
      </c>
      <c r="E182" s="13"/>
      <c r="F182" s="13"/>
      <c r="G182" s="15"/>
      <c r="H182" s="15"/>
      <c r="I182" s="16"/>
      <c r="J182" s="13"/>
      <c r="K182" s="13">
        <f>IF(AND($A182&lt;&gt;"",$A182=$A181),K181,"")</f>
      </c>
      <c r="L182" s="13">
        <f>IF(AND($A182&lt;&gt;"",$A182=$A181),L181,"")</f>
      </c>
      <c r="M182" s="13">
        <f>IF(AND($A182&lt;&gt;"",$A182=$A181),M181,"")</f>
      </c>
      <c r="N182" s="10">
        <f>IF(H182="","",H182-G182)</f>
      </c>
      <c r="O182" s="11">
        <f>IFERROR(N182/H182,"")</f>
      </c>
      <c r="P182" s="10">
        <f>IF($A182="","",IF(COUNTIF($A$3:$A182,$A182)=1,SUMIF(cobranza!$B$3:$B$1000,$A182,cobranza!$D$3:$D$1000),"↑"))</f>
      </c>
      <c r="Q182" s="10">
        <f>IF($A182="","",IF(COUNTIF($A$3:$A182,$A182)=1,SUMIFS($H$3:$H$1000,$A$3:$A$1000,$A182,$C$3:$C$1000,"&lt;&gt;Demo")-P182,"↑"))</f>
      </c>
      <c r="R182" s="13"/>
    </row>
    <row r="183" customFormat="false" ht="15" hidden="false" customHeight="false" outlineLevel="0" collapsed="false">
      <c r="A183" s="13"/>
      <c r="B183" s="14"/>
      <c r="C183" s="13"/>
      <c r="D183" s="13">
        <f>IF(AND($A183&lt;&gt;"",$A183=$A182),D182,"")</f>
      </c>
      <c r="E183" s="13"/>
      <c r="F183" s="13"/>
      <c r="G183" s="15"/>
      <c r="H183" s="15"/>
      <c r="I183" s="16"/>
      <c r="J183" s="13"/>
      <c r="K183" s="13">
        <f>IF(AND($A183&lt;&gt;"",$A183=$A182),K182,"")</f>
      </c>
      <c r="L183" s="13">
        <f>IF(AND($A183&lt;&gt;"",$A183=$A182),L182,"")</f>
      </c>
      <c r="M183" s="13">
        <f>IF(AND($A183&lt;&gt;"",$A183=$A182),M182,"")</f>
      </c>
      <c r="N183" s="10">
        <f>IF(H183="","",H183-G183)</f>
      </c>
      <c r="O183" s="11">
        <f>IFERROR(N183/H183,"")</f>
      </c>
      <c r="P183" s="10">
        <f>IF($A183="","",IF(COUNTIF($A$3:$A183,$A183)=1,SUMIF(cobranza!$B$3:$B$1000,$A183,cobranza!$D$3:$D$1000),"↑"))</f>
      </c>
      <c r="Q183" s="10">
        <f>IF($A183="","",IF(COUNTIF($A$3:$A183,$A183)=1,SUMIFS($H$3:$H$1000,$A$3:$A$1000,$A183,$C$3:$C$1000,"&lt;&gt;Demo")-P183,"↑"))</f>
      </c>
      <c r="R183" s="13"/>
    </row>
    <row r="184" customFormat="false" ht="15" hidden="false" customHeight="false" outlineLevel="0" collapsed="false">
      <c r="A184" s="13"/>
      <c r="B184" s="14"/>
      <c r="C184" s="13"/>
      <c r="D184" s="13">
        <f>IF(AND($A184&lt;&gt;"",$A184=$A183),D183,"")</f>
      </c>
      <c r="E184" s="13"/>
      <c r="F184" s="13"/>
      <c r="G184" s="15"/>
      <c r="H184" s="15"/>
      <c r="I184" s="16"/>
      <c r="J184" s="13"/>
      <c r="K184" s="13">
        <f>IF(AND($A184&lt;&gt;"",$A184=$A183),K183,"")</f>
      </c>
      <c r="L184" s="13">
        <f>IF(AND($A184&lt;&gt;"",$A184=$A183),L183,"")</f>
      </c>
      <c r="M184" s="13">
        <f>IF(AND($A184&lt;&gt;"",$A184=$A183),M183,"")</f>
      </c>
      <c r="N184" s="10">
        <f>IF(H184="","",H184-G184)</f>
      </c>
      <c r="O184" s="11">
        <f>IFERROR(N184/H184,"")</f>
      </c>
      <c r="P184" s="10">
        <f>IF($A184="","",IF(COUNTIF($A$3:$A184,$A184)=1,SUMIF(cobranza!$B$3:$B$1000,$A184,cobranza!$D$3:$D$1000),"↑"))</f>
      </c>
      <c r="Q184" s="10">
        <f>IF($A184="","",IF(COUNTIF($A$3:$A184,$A184)=1,SUMIFS($H$3:$H$1000,$A$3:$A$1000,$A184,$C$3:$C$1000,"&lt;&gt;Demo")-P184,"↑"))</f>
      </c>
      <c r="R184" s="13"/>
    </row>
    <row r="185" customFormat="false" ht="15" hidden="false" customHeight="false" outlineLevel="0" collapsed="false">
      <c r="A185" s="13"/>
      <c r="B185" s="14"/>
      <c r="C185" s="13"/>
      <c r="D185" s="13">
        <f>IF(AND($A185&lt;&gt;"",$A185=$A184),D184,"")</f>
      </c>
      <c r="E185" s="13"/>
      <c r="F185" s="13"/>
      <c r="G185" s="15"/>
      <c r="H185" s="15"/>
      <c r="I185" s="16"/>
      <c r="J185" s="13"/>
      <c r="K185" s="13">
        <f>IF(AND($A185&lt;&gt;"",$A185=$A184),K184,"")</f>
      </c>
      <c r="L185" s="13">
        <f>IF(AND($A185&lt;&gt;"",$A185=$A184),L184,"")</f>
      </c>
      <c r="M185" s="13">
        <f>IF(AND($A185&lt;&gt;"",$A185=$A184),M184,"")</f>
      </c>
      <c r="N185" s="10">
        <f>IF(H185="","",H185-G185)</f>
      </c>
      <c r="O185" s="11">
        <f>IFERROR(N185/H185,"")</f>
      </c>
      <c r="P185" s="10">
        <f>IF($A185="","",IF(COUNTIF($A$3:$A185,$A185)=1,SUMIF(cobranza!$B$3:$B$1000,$A185,cobranza!$D$3:$D$1000),"↑"))</f>
      </c>
      <c r="Q185" s="10">
        <f>IF($A185="","",IF(COUNTIF($A$3:$A185,$A185)=1,SUMIFS($H$3:$H$1000,$A$3:$A$1000,$A185,$C$3:$C$1000,"&lt;&gt;Demo")-P185,"↑"))</f>
      </c>
      <c r="R185" s="13"/>
    </row>
    <row r="186" customFormat="false" ht="15" hidden="false" customHeight="false" outlineLevel="0" collapsed="false">
      <c r="A186" s="13"/>
      <c r="B186" s="14"/>
      <c r="C186" s="13"/>
      <c r="D186" s="13">
        <f>IF(AND($A186&lt;&gt;"",$A186=$A185),D185,"")</f>
      </c>
      <c r="E186" s="13"/>
      <c r="F186" s="13"/>
      <c r="G186" s="15"/>
      <c r="H186" s="15"/>
      <c r="I186" s="16"/>
      <c r="J186" s="13"/>
      <c r="K186" s="13">
        <f>IF(AND($A186&lt;&gt;"",$A186=$A185),K185,"")</f>
      </c>
      <c r="L186" s="13">
        <f>IF(AND($A186&lt;&gt;"",$A186=$A185),L185,"")</f>
      </c>
      <c r="M186" s="13">
        <f>IF(AND($A186&lt;&gt;"",$A186=$A185),M185,"")</f>
      </c>
      <c r="N186" s="10">
        <f>IF(H186="","",H186-G186)</f>
      </c>
      <c r="O186" s="11">
        <f>IFERROR(N186/H186,"")</f>
      </c>
      <c r="P186" s="10">
        <f>IF($A186="","",IF(COUNTIF($A$3:$A186,$A186)=1,SUMIF(cobranza!$B$3:$B$1000,$A186,cobranza!$D$3:$D$1000),"↑"))</f>
      </c>
      <c r="Q186" s="10">
        <f>IF($A186="","",IF(COUNTIF($A$3:$A186,$A186)=1,SUMIFS($H$3:$H$1000,$A$3:$A$1000,$A186,$C$3:$C$1000,"&lt;&gt;Demo")-P186,"↑"))</f>
      </c>
      <c r="R186" s="13"/>
    </row>
    <row r="187" customFormat="false" ht="15" hidden="false" customHeight="false" outlineLevel="0" collapsed="false">
      <c r="A187" s="13"/>
      <c r="B187" s="14"/>
      <c r="C187" s="13"/>
      <c r="D187" s="13">
        <f>IF(AND($A187&lt;&gt;"",$A187=$A186),D186,"")</f>
      </c>
      <c r="E187" s="13"/>
      <c r="F187" s="13"/>
      <c r="G187" s="15"/>
      <c r="H187" s="15"/>
      <c r="I187" s="16"/>
      <c r="J187" s="13"/>
      <c r="K187" s="13">
        <f>IF(AND($A187&lt;&gt;"",$A187=$A186),K186,"")</f>
      </c>
      <c r="L187" s="13">
        <f>IF(AND($A187&lt;&gt;"",$A187=$A186),L186,"")</f>
      </c>
      <c r="M187" s="13">
        <f>IF(AND($A187&lt;&gt;"",$A187=$A186),M186,"")</f>
      </c>
      <c r="N187" s="10">
        <f>IF(H187="","",H187-G187)</f>
      </c>
      <c r="O187" s="11">
        <f>IFERROR(N187/H187,"")</f>
      </c>
      <c r="P187" s="10">
        <f>IF($A187="","",IF(COUNTIF($A$3:$A187,$A187)=1,SUMIF(cobranza!$B$3:$B$1000,$A187,cobranza!$D$3:$D$1000),"↑"))</f>
      </c>
      <c r="Q187" s="10">
        <f>IF($A187="","",IF(COUNTIF($A$3:$A187,$A187)=1,SUMIFS($H$3:$H$1000,$A$3:$A$1000,$A187,$C$3:$C$1000,"&lt;&gt;Demo")-P187,"↑"))</f>
      </c>
      <c r="R187" s="13"/>
    </row>
    <row r="188" customFormat="false" ht="15" hidden="false" customHeight="false" outlineLevel="0" collapsed="false">
      <c r="A188" s="13"/>
      <c r="B188" s="14"/>
      <c r="C188" s="13"/>
      <c r="D188" s="13">
        <f>IF(AND($A188&lt;&gt;"",$A188=$A187),D187,"")</f>
      </c>
      <c r="E188" s="13"/>
      <c r="F188" s="13"/>
      <c r="G188" s="15"/>
      <c r="H188" s="15"/>
      <c r="I188" s="16"/>
      <c r="J188" s="13"/>
      <c r="K188" s="13">
        <f>IF(AND($A188&lt;&gt;"",$A188=$A187),K187,"")</f>
      </c>
      <c r="L188" s="13">
        <f>IF(AND($A188&lt;&gt;"",$A188=$A187),L187,"")</f>
      </c>
      <c r="M188" s="13">
        <f>IF(AND($A188&lt;&gt;"",$A188=$A187),M187,"")</f>
      </c>
      <c r="N188" s="10">
        <f>IF(H188="","",H188-G188)</f>
      </c>
      <c r="O188" s="11">
        <f>IFERROR(N188/H188,"")</f>
      </c>
      <c r="P188" s="10">
        <f>IF($A188="","",IF(COUNTIF($A$3:$A188,$A188)=1,SUMIF(cobranza!$B$3:$B$1000,$A188,cobranza!$D$3:$D$1000),"↑"))</f>
      </c>
      <c r="Q188" s="10">
        <f>IF($A188="","",IF(COUNTIF($A$3:$A188,$A188)=1,SUMIFS($H$3:$H$1000,$A$3:$A$1000,$A188,$C$3:$C$1000,"&lt;&gt;Demo")-P188,"↑"))</f>
      </c>
      <c r="R188" s="13"/>
    </row>
    <row r="189" customFormat="false" ht="15" hidden="false" customHeight="false" outlineLevel="0" collapsed="false">
      <c r="A189" s="13"/>
      <c r="B189" s="14"/>
      <c r="C189" s="13"/>
      <c r="D189" s="13">
        <f>IF(AND($A189&lt;&gt;"",$A189=$A188),D188,"")</f>
      </c>
      <c r="E189" s="13"/>
      <c r="F189" s="13"/>
      <c r="G189" s="15"/>
      <c r="H189" s="15"/>
      <c r="I189" s="16"/>
      <c r="J189" s="13"/>
      <c r="K189" s="13">
        <f>IF(AND($A189&lt;&gt;"",$A189=$A188),K188,"")</f>
      </c>
      <c r="L189" s="13">
        <f>IF(AND($A189&lt;&gt;"",$A189=$A188),L188,"")</f>
      </c>
      <c r="M189" s="13">
        <f>IF(AND($A189&lt;&gt;"",$A189=$A188),M188,"")</f>
      </c>
      <c r="N189" s="10">
        <f>IF(H189="","",H189-G189)</f>
      </c>
      <c r="O189" s="11">
        <f>IFERROR(N189/H189,"")</f>
      </c>
      <c r="P189" s="10">
        <f>IF($A189="","",IF(COUNTIF($A$3:$A189,$A189)=1,SUMIF(cobranza!$B$3:$B$1000,$A189,cobranza!$D$3:$D$1000),"↑"))</f>
      </c>
      <c r="Q189" s="10">
        <f>IF($A189="","",IF(COUNTIF($A$3:$A189,$A189)=1,SUMIFS($H$3:$H$1000,$A$3:$A$1000,$A189,$C$3:$C$1000,"&lt;&gt;Demo")-P189,"↑"))</f>
      </c>
      <c r="R189" s="13"/>
    </row>
    <row r="190" customFormat="false" ht="15" hidden="false" customHeight="false" outlineLevel="0" collapsed="false">
      <c r="A190" s="13"/>
      <c r="B190" s="14"/>
      <c r="C190" s="13"/>
      <c r="D190" s="13">
        <f>IF(AND($A190&lt;&gt;"",$A190=$A189),D189,"")</f>
      </c>
      <c r="E190" s="13"/>
      <c r="F190" s="13"/>
      <c r="G190" s="15"/>
      <c r="H190" s="15"/>
      <c r="I190" s="16"/>
      <c r="J190" s="13"/>
      <c r="K190" s="13">
        <f>IF(AND($A190&lt;&gt;"",$A190=$A189),K189,"")</f>
      </c>
      <c r="L190" s="13">
        <f>IF(AND($A190&lt;&gt;"",$A190=$A189),L189,"")</f>
      </c>
      <c r="M190" s="13">
        <f>IF(AND($A190&lt;&gt;"",$A190=$A189),M189,"")</f>
      </c>
      <c r="N190" s="10">
        <f>IF(H190="","",H190-G190)</f>
      </c>
      <c r="O190" s="11">
        <f>IFERROR(N190/H190,"")</f>
      </c>
      <c r="P190" s="10">
        <f>IF($A190="","",IF(COUNTIF($A$3:$A190,$A190)=1,SUMIF(cobranza!$B$3:$B$1000,$A190,cobranza!$D$3:$D$1000),"↑"))</f>
      </c>
      <c r="Q190" s="10">
        <f>IF($A190="","",IF(COUNTIF($A$3:$A190,$A190)=1,SUMIFS($H$3:$H$1000,$A$3:$A$1000,$A190,$C$3:$C$1000,"&lt;&gt;Demo")-P190,"↑"))</f>
      </c>
      <c r="R190" s="13"/>
    </row>
    <row r="191" customFormat="false" ht="15" hidden="false" customHeight="false" outlineLevel="0" collapsed="false">
      <c r="A191" s="13"/>
      <c r="B191" s="14"/>
      <c r="C191" s="13"/>
      <c r="D191" s="13">
        <f>IF(AND($A191&lt;&gt;"",$A191=$A190),D190,"")</f>
      </c>
      <c r="E191" s="13"/>
      <c r="F191" s="13"/>
      <c r="G191" s="15"/>
      <c r="H191" s="15"/>
      <c r="I191" s="16"/>
      <c r="J191" s="13"/>
      <c r="K191" s="13">
        <f>IF(AND($A191&lt;&gt;"",$A191=$A190),K190,"")</f>
      </c>
      <c r="L191" s="13">
        <f>IF(AND($A191&lt;&gt;"",$A191=$A190),L190,"")</f>
      </c>
      <c r="M191" s="13">
        <f>IF(AND($A191&lt;&gt;"",$A191=$A190),M190,"")</f>
      </c>
      <c r="N191" s="10">
        <f>IF(H191="","",H191-G191)</f>
      </c>
      <c r="O191" s="11">
        <f>IFERROR(N191/H191,"")</f>
      </c>
      <c r="P191" s="10">
        <f>IF($A191="","",IF(COUNTIF($A$3:$A191,$A191)=1,SUMIF(cobranza!$B$3:$B$1000,$A191,cobranza!$D$3:$D$1000),"↑"))</f>
      </c>
      <c r="Q191" s="10">
        <f>IF($A191="","",IF(COUNTIF($A$3:$A191,$A191)=1,SUMIFS($H$3:$H$1000,$A$3:$A$1000,$A191,$C$3:$C$1000,"&lt;&gt;Demo")-P191,"↑"))</f>
      </c>
      <c r="R191" s="13"/>
    </row>
    <row r="192" customFormat="false" ht="15" hidden="false" customHeight="false" outlineLevel="0" collapsed="false">
      <c r="A192" s="13"/>
      <c r="B192" s="14"/>
      <c r="C192" s="13"/>
      <c r="D192" s="13">
        <f>IF(AND($A192&lt;&gt;"",$A192=$A191),D191,"")</f>
      </c>
      <c r="E192" s="13"/>
      <c r="F192" s="13"/>
      <c r="G192" s="15"/>
      <c r="H192" s="15"/>
      <c r="I192" s="16"/>
      <c r="J192" s="13"/>
      <c r="K192" s="13">
        <f>IF(AND($A192&lt;&gt;"",$A192=$A191),K191,"")</f>
      </c>
      <c r="L192" s="13">
        <f>IF(AND($A192&lt;&gt;"",$A192=$A191),L191,"")</f>
      </c>
      <c r="M192" s="13">
        <f>IF(AND($A192&lt;&gt;"",$A192=$A191),M191,"")</f>
      </c>
      <c r="N192" s="10">
        <f>IF(H192="","",H192-G192)</f>
      </c>
      <c r="O192" s="11">
        <f>IFERROR(N192/H192,"")</f>
      </c>
      <c r="P192" s="10">
        <f>IF($A192="","",IF(COUNTIF($A$3:$A192,$A192)=1,SUMIF(cobranza!$B$3:$B$1000,$A192,cobranza!$D$3:$D$1000),"↑"))</f>
      </c>
      <c r="Q192" s="10">
        <f>IF($A192="","",IF(COUNTIF($A$3:$A192,$A192)=1,SUMIFS($H$3:$H$1000,$A$3:$A$1000,$A192,$C$3:$C$1000,"&lt;&gt;Demo")-P192,"↑"))</f>
      </c>
      <c r="R192" s="13"/>
    </row>
    <row r="193" customFormat="false" ht="15" hidden="false" customHeight="false" outlineLevel="0" collapsed="false">
      <c r="A193" s="13"/>
      <c r="B193" s="14"/>
      <c r="C193" s="13"/>
      <c r="D193" s="13">
        <f>IF(AND($A193&lt;&gt;"",$A193=$A192),D192,"")</f>
      </c>
      <c r="E193" s="13"/>
      <c r="F193" s="13"/>
      <c r="G193" s="15"/>
      <c r="H193" s="15"/>
      <c r="I193" s="16"/>
      <c r="J193" s="13"/>
      <c r="K193" s="13">
        <f>IF(AND($A193&lt;&gt;"",$A193=$A192),K192,"")</f>
      </c>
      <c r="L193" s="13">
        <f>IF(AND($A193&lt;&gt;"",$A193=$A192),L192,"")</f>
      </c>
      <c r="M193" s="13">
        <f>IF(AND($A193&lt;&gt;"",$A193=$A192),M192,"")</f>
      </c>
      <c r="N193" s="10">
        <f>IF(H193="","",H193-G193)</f>
      </c>
      <c r="O193" s="11">
        <f>IFERROR(N193/H193,"")</f>
      </c>
      <c r="P193" s="10">
        <f>IF($A193="","",IF(COUNTIF($A$3:$A193,$A193)=1,SUMIF(cobranza!$B$3:$B$1000,$A193,cobranza!$D$3:$D$1000),"↑"))</f>
      </c>
      <c r="Q193" s="10">
        <f>IF($A193="","",IF(COUNTIF($A$3:$A193,$A193)=1,SUMIFS($H$3:$H$1000,$A$3:$A$1000,$A193,$C$3:$C$1000,"&lt;&gt;Demo")-P193,"↑"))</f>
      </c>
      <c r="R193" s="13"/>
    </row>
    <row r="194" customFormat="false" ht="15" hidden="false" customHeight="false" outlineLevel="0" collapsed="false">
      <c r="A194" s="13"/>
      <c r="B194" s="14"/>
      <c r="C194" s="13"/>
      <c r="D194" s="13">
        <f>IF(AND($A194&lt;&gt;"",$A194=$A193),D193,"")</f>
      </c>
      <c r="E194" s="13"/>
      <c r="F194" s="13"/>
      <c r="G194" s="15"/>
      <c r="H194" s="15"/>
      <c r="I194" s="16"/>
      <c r="J194" s="13"/>
      <c r="K194" s="13">
        <f>IF(AND($A194&lt;&gt;"",$A194=$A193),K193,"")</f>
      </c>
      <c r="L194" s="13">
        <f>IF(AND($A194&lt;&gt;"",$A194=$A193),L193,"")</f>
      </c>
      <c r="M194" s="13">
        <f>IF(AND($A194&lt;&gt;"",$A194=$A193),M193,"")</f>
      </c>
      <c r="N194" s="10">
        <f>IF(H194="","",H194-G194)</f>
      </c>
      <c r="O194" s="11">
        <f>IFERROR(N194/H194,"")</f>
      </c>
      <c r="P194" s="10">
        <f>IF($A194="","",IF(COUNTIF($A$3:$A194,$A194)=1,SUMIF(cobranza!$B$3:$B$1000,$A194,cobranza!$D$3:$D$1000),"↑"))</f>
      </c>
      <c r="Q194" s="10">
        <f>IF($A194="","",IF(COUNTIF($A$3:$A194,$A194)=1,SUMIFS($H$3:$H$1000,$A$3:$A$1000,$A194,$C$3:$C$1000,"&lt;&gt;Demo")-P194,"↑"))</f>
      </c>
      <c r="R194" s="13"/>
    </row>
    <row r="195" customFormat="false" ht="15" hidden="false" customHeight="false" outlineLevel="0" collapsed="false">
      <c r="A195" s="13"/>
      <c r="B195" s="14"/>
      <c r="C195" s="13"/>
      <c r="D195" s="13">
        <f>IF(AND($A195&lt;&gt;"",$A195=$A194),D194,"")</f>
      </c>
      <c r="E195" s="13"/>
      <c r="F195" s="13"/>
      <c r="G195" s="15"/>
      <c r="H195" s="15"/>
      <c r="I195" s="16"/>
      <c r="J195" s="13"/>
      <c r="K195" s="13">
        <f>IF(AND($A195&lt;&gt;"",$A195=$A194),K194,"")</f>
      </c>
      <c r="L195" s="13">
        <f>IF(AND($A195&lt;&gt;"",$A195=$A194),L194,"")</f>
      </c>
      <c r="M195" s="13">
        <f>IF(AND($A195&lt;&gt;"",$A195=$A194),M194,"")</f>
      </c>
      <c r="N195" s="10">
        <f>IF(H195="","",H195-G195)</f>
      </c>
      <c r="O195" s="11">
        <f>IFERROR(N195/H195,"")</f>
      </c>
      <c r="P195" s="10">
        <f>IF($A195="","",IF(COUNTIF($A$3:$A195,$A195)=1,SUMIF(cobranza!$B$3:$B$1000,$A195,cobranza!$D$3:$D$1000),"↑"))</f>
      </c>
      <c r="Q195" s="10">
        <f>IF($A195="","",IF(COUNTIF($A$3:$A195,$A195)=1,SUMIFS($H$3:$H$1000,$A$3:$A$1000,$A195,$C$3:$C$1000,"&lt;&gt;Demo")-P195,"↑"))</f>
      </c>
      <c r="R195" s="13"/>
    </row>
    <row r="196" customFormat="false" ht="15" hidden="false" customHeight="false" outlineLevel="0" collapsed="false">
      <c r="A196" s="13"/>
      <c r="B196" s="14"/>
      <c r="C196" s="13"/>
      <c r="D196" s="13">
        <f>IF(AND($A196&lt;&gt;"",$A196=$A195),D195,"")</f>
      </c>
      <c r="E196" s="13"/>
      <c r="F196" s="13"/>
      <c r="G196" s="15"/>
      <c r="H196" s="15"/>
      <c r="I196" s="16"/>
      <c r="J196" s="13"/>
      <c r="K196" s="13">
        <f>IF(AND($A196&lt;&gt;"",$A196=$A195),K195,"")</f>
      </c>
      <c r="L196" s="13">
        <f>IF(AND($A196&lt;&gt;"",$A196=$A195),L195,"")</f>
      </c>
      <c r="M196" s="13">
        <f>IF(AND($A196&lt;&gt;"",$A196=$A195),M195,"")</f>
      </c>
      <c r="N196" s="10">
        <f>IF(H196="","",H196-G196)</f>
      </c>
      <c r="O196" s="11">
        <f>IFERROR(N196/H196,"")</f>
      </c>
      <c r="P196" s="10">
        <f>IF($A196="","",IF(COUNTIF($A$3:$A196,$A196)=1,SUMIF(cobranza!$B$3:$B$1000,$A196,cobranza!$D$3:$D$1000),"↑"))</f>
      </c>
      <c r="Q196" s="10">
        <f>IF($A196="","",IF(COUNTIF($A$3:$A196,$A196)=1,SUMIFS($H$3:$H$1000,$A$3:$A$1000,$A196,$C$3:$C$1000,"&lt;&gt;Demo")-P196,"↑"))</f>
      </c>
      <c r="R196" s="13"/>
    </row>
    <row r="197" customFormat="false" ht="15" hidden="false" customHeight="false" outlineLevel="0" collapsed="false">
      <c r="A197" s="13"/>
      <c r="B197" s="14"/>
      <c r="C197" s="13"/>
      <c r="D197" s="13">
        <f>IF(AND($A197&lt;&gt;"",$A197=$A196),D196,"")</f>
      </c>
      <c r="E197" s="13"/>
      <c r="F197" s="13"/>
      <c r="G197" s="15"/>
      <c r="H197" s="15"/>
      <c r="I197" s="16"/>
      <c r="J197" s="13"/>
      <c r="K197" s="13">
        <f>IF(AND($A197&lt;&gt;"",$A197=$A196),K196,"")</f>
      </c>
      <c r="L197" s="13">
        <f>IF(AND($A197&lt;&gt;"",$A197=$A196),L196,"")</f>
      </c>
      <c r="M197" s="13">
        <f>IF(AND($A197&lt;&gt;"",$A197=$A196),M196,"")</f>
      </c>
      <c r="N197" s="10">
        <f>IF(H197="","",H197-G197)</f>
      </c>
      <c r="O197" s="11">
        <f>IFERROR(N197/H197,"")</f>
      </c>
      <c r="P197" s="10">
        <f>IF($A197="","",IF(COUNTIF($A$3:$A197,$A197)=1,SUMIF(cobranza!$B$3:$B$1000,$A197,cobranza!$D$3:$D$1000),"↑"))</f>
      </c>
      <c r="Q197" s="10">
        <f>IF($A197="","",IF(COUNTIF($A$3:$A197,$A197)=1,SUMIFS($H$3:$H$1000,$A$3:$A$1000,$A197,$C$3:$C$1000,"&lt;&gt;Demo")-P197,"↑"))</f>
      </c>
      <c r="R197" s="13"/>
    </row>
    <row r="198" customFormat="false" ht="15" hidden="false" customHeight="false" outlineLevel="0" collapsed="false">
      <c r="A198" s="13"/>
      <c r="B198" s="14"/>
      <c r="C198" s="13"/>
      <c r="D198" s="13">
        <f>IF(AND($A198&lt;&gt;"",$A198=$A197),D197,"")</f>
      </c>
      <c r="E198" s="13"/>
      <c r="F198" s="13"/>
      <c r="G198" s="15"/>
      <c r="H198" s="15"/>
      <c r="I198" s="16"/>
      <c r="J198" s="13"/>
      <c r="K198" s="13">
        <f>IF(AND($A198&lt;&gt;"",$A198=$A197),K197,"")</f>
      </c>
      <c r="L198" s="13">
        <f>IF(AND($A198&lt;&gt;"",$A198=$A197),L197,"")</f>
      </c>
      <c r="M198" s="13">
        <f>IF(AND($A198&lt;&gt;"",$A198=$A197),M197,"")</f>
      </c>
      <c r="N198" s="10">
        <f>IF(H198="","",H198-G198)</f>
      </c>
      <c r="O198" s="11">
        <f>IFERROR(N198/H198,"")</f>
      </c>
      <c r="P198" s="10">
        <f>IF($A198="","",IF(COUNTIF($A$3:$A198,$A198)=1,SUMIF(cobranza!$B$3:$B$1000,$A198,cobranza!$D$3:$D$1000),"↑"))</f>
      </c>
      <c r="Q198" s="10">
        <f>IF($A198="","",IF(COUNTIF($A$3:$A198,$A198)=1,SUMIFS($H$3:$H$1000,$A$3:$A$1000,$A198,$C$3:$C$1000,"&lt;&gt;Demo")-P198,"↑"))</f>
      </c>
      <c r="R198" s="13"/>
    </row>
    <row r="199" customFormat="false" ht="15" hidden="false" customHeight="false" outlineLevel="0" collapsed="false">
      <c r="A199" s="13"/>
      <c r="B199" s="14"/>
      <c r="C199" s="13"/>
      <c r="D199" s="13">
        <f>IF(AND($A199&lt;&gt;"",$A199=$A198),D198,"")</f>
      </c>
      <c r="E199" s="13"/>
      <c r="F199" s="13"/>
      <c r="G199" s="15"/>
      <c r="H199" s="15"/>
      <c r="I199" s="16"/>
      <c r="J199" s="13"/>
      <c r="K199" s="13">
        <f>IF(AND($A199&lt;&gt;"",$A199=$A198),K198,"")</f>
      </c>
      <c r="L199" s="13">
        <f>IF(AND($A199&lt;&gt;"",$A199=$A198),L198,"")</f>
      </c>
      <c r="M199" s="13">
        <f>IF(AND($A199&lt;&gt;"",$A199=$A198),M198,"")</f>
      </c>
      <c r="N199" s="10">
        <f>IF(H199="","",H199-G199)</f>
      </c>
      <c r="O199" s="11">
        <f>IFERROR(N199/H199,"")</f>
      </c>
      <c r="P199" s="10">
        <f>IF($A199="","",IF(COUNTIF($A$3:$A199,$A199)=1,SUMIF(cobranza!$B$3:$B$1000,$A199,cobranza!$D$3:$D$1000),"↑"))</f>
      </c>
      <c r="Q199" s="10">
        <f>IF($A199="","",IF(COUNTIF($A$3:$A199,$A199)=1,SUMIFS($H$3:$H$1000,$A$3:$A$1000,$A199,$C$3:$C$1000,"&lt;&gt;Demo")-P199,"↑"))</f>
      </c>
      <c r="R199" s="13"/>
    </row>
    <row r="200" customFormat="false" ht="15" hidden="false" customHeight="false" outlineLevel="0" collapsed="false">
      <c r="A200" s="13"/>
      <c r="B200" s="14"/>
      <c r="C200" s="13"/>
      <c r="D200" s="13">
        <f>IF(AND($A200&lt;&gt;"",$A200=$A199),D199,"")</f>
      </c>
      <c r="E200" s="13"/>
      <c r="F200" s="13"/>
      <c r="G200" s="15"/>
      <c r="H200" s="15"/>
      <c r="I200" s="16"/>
      <c r="J200" s="13"/>
      <c r="K200" s="13">
        <f>IF(AND($A200&lt;&gt;"",$A200=$A199),K199,"")</f>
      </c>
      <c r="L200" s="13">
        <f>IF(AND($A200&lt;&gt;"",$A200=$A199),L199,"")</f>
      </c>
      <c r="M200" s="13">
        <f>IF(AND($A200&lt;&gt;"",$A200=$A199),M199,"")</f>
      </c>
      <c r="N200" s="10">
        <f>IF(H200="","",H200-G200)</f>
      </c>
      <c r="O200" s="11">
        <f>IFERROR(N200/H200,"")</f>
      </c>
      <c r="P200" s="10">
        <f>IF($A200="","",IF(COUNTIF($A$3:$A200,$A200)=1,SUMIF(cobranza!$B$3:$B$1000,$A200,cobranza!$D$3:$D$1000),"↑"))</f>
      </c>
      <c r="Q200" s="10">
        <f>IF($A200="","",IF(COUNTIF($A$3:$A200,$A200)=1,SUMIFS($H$3:$H$1000,$A$3:$A$1000,$A200,$C$3:$C$1000,"&lt;&gt;Demo")-P200,"↑"))</f>
      </c>
      <c r="R200" s="13"/>
    </row>
    <row r="201" customFormat="false" ht="15" hidden="false" customHeight="false" outlineLevel="0" collapsed="false">
      <c r="A201" s="13"/>
      <c r="B201" s="14"/>
      <c r="C201" s="13"/>
      <c r="D201" s="13">
        <f>IF(AND($A201&lt;&gt;"",$A201=$A200),D200,"")</f>
      </c>
      <c r="E201" s="13"/>
      <c r="F201" s="13"/>
      <c r="G201" s="15"/>
      <c r="H201" s="15"/>
      <c r="I201" s="16"/>
      <c r="J201" s="13"/>
      <c r="K201" s="13">
        <f>IF(AND($A201&lt;&gt;"",$A201=$A200),K200,"")</f>
      </c>
      <c r="L201" s="13">
        <f>IF(AND($A201&lt;&gt;"",$A201=$A200),L200,"")</f>
      </c>
      <c r="M201" s="13">
        <f>IF(AND($A201&lt;&gt;"",$A201=$A200),M200,"")</f>
      </c>
      <c r="N201" s="10">
        <f>IF(H201="","",H201-G201)</f>
      </c>
      <c r="O201" s="11">
        <f>IFERROR(N201/H201,"")</f>
      </c>
      <c r="P201" s="10">
        <f>IF($A201="","",IF(COUNTIF($A$3:$A201,$A201)=1,SUMIF(cobranza!$B$3:$B$1000,$A201,cobranza!$D$3:$D$1000),"↑"))</f>
      </c>
      <c r="Q201" s="10">
        <f>IF($A201="","",IF(COUNTIF($A$3:$A201,$A201)=1,SUMIFS($H$3:$H$1000,$A$3:$A$1000,$A201,$C$3:$C$1000,"&lt;&gt;Demo")-P201,"↑"))</f>
      </c>
      <c r="R201" s="13"/>
    </row>
    <row r="202" customFormat="false" ht="15" hidden="false" customHeight="false" outlineLevel="0" collapsed="false">
      <c r="A202" s="13"/>
      <c r="B202" s="14"/>
      <c r="C202" s="13"/>
      <c r="D202" s="13">
        <f>IF(AND($A202&lt;&gt;"",$A202=$A201),D201,"")</f>
      </c>
      <c r="E202" s="13"/>
      <c r="F202" s="13"/>
      <c r="G202" s="15"/>
      <c r="H202" s="15"/>
      <c r="I202" s="16"/>
      <c r="J202" s="13"/>
      <c r="K202" s="13">
        <f>IF(AND($A202&lt;&gt;"",$A202=$A201),K201,"")</f>
      </c>
      <c r="L202" s="13">
        <f>IF(AND($A202&lt;&gt;"",$A202=$A201),L201,"")</f>
      </c>
      <c r="M202" s="13">
        <f>IF(AND($A202&lt;&gt;"",$A202=$A201),M201,"")</f>
      </c>
      <c r="N202" s="10">
        <f>IF(H202="","",H202-G202)</f>
      </c>
      <c r="O202" s="11">
        <f>IFERROR(N202/H202,"")</f>
      </c>
      <c r="P202" s="10">
        <f>IF($A202="","",IF(COUNTIF($A$3:$A202,$A202)=1,SUMIF(cobranza!$B$3:$B$1000,$A202,cobranza!$D$3:$D$1000),"↑"))</f>
      </c>
      <c r="Q202" s="10">
        <f>IF($A202="","",IF(COUNTIF($A$3:$A202,$A202)=1,SUMIFS($H$3:$H$1000,$A$3:$A$1000,$A202,$C$3:$C$1000,"&lt;&gt;Demo")-P202,"↑"))</f>
      </c>
      <c r="R202" s="13"/>
    </row>
    <row r="203" customFormat="false" ht="15" hidden="false" customHeight="false" outlineLevel="0" collapsed="false">
      <c r="A203" s="13"/>
      <c r="B203" s="14"/>
      <c r="C203" s="13"/>
      <c r="D203" s="13">
        <f>IF(AND($A203&lt;&gt;"",$A203=$A202),D202,"")</f>
      </c>
      <c r="E203" s="13"/>
      <c r="F203" s="13"/>
      <c r="G203" s="15"/>
      <c r="H203" s="15"/>
      <c r="I203" s="16"/>
      <c r="J203" s="13"/>
      <c r="K203" s="13">
        <f>IF(AND($A203&lt;&gt;"",$A203=$A202),K202,"")</f>
      </c>
      <c r="L203" s="13">
        <f>IF(AND($A203&lt;&gt;"",$A203=$A202),L202,"")</f>
      </c>
      <c r="M203" s="13">
        <f>IF(AND($A203&lt;&gt;"",$A203=$A202),M202,"")</f>
      </c>
      <c r="N203" s="10">
        <f>IF(H203="","",H203-G203)</f>
      </c>
      <c r="O203" s="11">
        <f>IFERROR(N203/H203,"")</f>
      </c>
      <c r="P203" s="10">
        <f>IF($A203="","",IF(COUNTIF($A$3:$A203,$A203)=1,SUMIF(cobranza!$B$3:$B$1000,$A203,cobranza!$D$3:$D$1000),"↑"))</f>
      </c>
      <c r="Q203" s="10">
        <f>IF($A203="","",IF(COUNTIF($A$3:$A203,$A203)=1,SUMIFS($H$3:$H$1000,$A$3:$A$1000,$A203,$C$3:$C$1000,"&lt;&gt;Demo")-P203,"↑"))</f>
      </c>
      <c r="R203" s="13"/>
    </row>
    <row r="204" customFormat="false" ht="15" hidden="false" customHeight="false" outlineLevel="0" collapsed="false">
      <c r="A204" s="13"/>
      <c r="B204" s="14"/>
      <c r="C204" s="13"/>
      <c r="D204" s="13">
        <f>IF(AND($A204&lt;&gt;"",$A204=$A203),D203,"")</f>
      </c>
      <c r="E204" s="13"/>
      <c r="F204" s="13"/>
      <c r="G204" s="15"/>
      <c r="H204" s="15"/>
      <c r="I204" s="16"/>
      <c r="J204" s="13"/>
      <c r="K204" s="13">
        <f>IF(AND($A204&lt;&gt;"",$A204=$A203),K203,"")</f>
      </c>
      <c r="L204" s="13">
        <f>IF(AND($A204&lt;&gt;"",$A204=$A203),L203,"")</f>
      </c>
      <c r="M204" s="13">
        <f>IF(AND($A204&lt;&gt;"",$A204=$A203),M203,"")</f>
      </c>
      <c r="N204" s="10">
        <f>IF(H204="","",H204-G204)</f>
      </c>
      <c r="O204" s="11">
        <f>IFERROR(N204/H204,"")</f>
      </c>
      <c r="P204" s="10">
        <f>IF($A204="","",IF(COUNTIF($A$3:$A204,$A204)=1,SUMIF(cobranza!$B$3:$B$1000,$A204,cobranza!$D$3:$D$1000),"↑"))</f>
      </c>
      <c r="Q204" s="10">
        <f>IF($A204="","",IF(COUNTIF($A$3:$A204,$A204)=1,SUMIFS($H$3:$H$1000,$A$3:$A$1000,$A204,$C$3:$C$1000,"&lt;&gt;Demo")-P204,"↑"))</f>
      </c>
      <c r="R204" s="13"/>
    </row>
    <row r="205" customFormat="false" ht="15" hidden="false" customHeight="false" outlineLevel="0" collapsed="false">
      <c r="A205" s="13"/>
      <c r="B205" s="14"/>
      <c r="C205" s="13"/>
      <c r="D205" s="13">
        <f>IF(AND($A205&lt;&gt;"",$A205=$A204),D204,"")</f>
      </c>
      <c r="E205" s="13"/>
      <c r="F205" s="13"/>
      <c r="G205" s="15"/>
      <c r="H205" s="15"/>
      <c r="I205" s="16"/>
      <c r="J205" s="13"/>
      <c r="K205" s="13">
        <f>IF(AND($A205&lt;&gt;"",$A205=$A204),K204,"")</f>
      </c>
      <c r="L205" s="13">
        <f>IF(AND($A205&lt;&gt;"",$A205=$A204),L204,"")</f>
      </c>
      <c r="M205" s="13">
        <f>IF(AND($A205&lt;&gt;"",$A205=$A204),M204,"")</f>
      </c>
      <c r="N205" s="10">
        <f>IF(H205="","",H205-G205)</f>
      </c>
      <c r="O205" s="11">
        <f>IFERROR(N205/H205,"")</f>
      </c>
      <c r="P205" s="10">
        <f>IF($A205="","",IF(COUNTIF($A$3:$A205,$A205)=1,SUMIF(cobranza!$B$3:$B$1000,$A205,cobranza!$D$3:$D$1000),"↑"))</f>
      </c>
      <c r="Q205" s="10">
        <f>IF($A205="","",IF(COUNTIF($A$3:$A205,$A205)=1,SUMIFS($H$3:$H$1000,$A$3:$A$1000,$A205,$C$3:$C$1000,"&lt;&gt;Demo")-P205,"↑"))</f>
      </c>
      <c r="R205" s="13"/>
    </row>
    <row r="206" customFormat="false" ht="15" hidden="false" customHeight="false" outlineLevel="0" collapsed="false">
      <c r="A206" s="13"/>
      <c r="B206" s="14"/>
      <c r="C206" s="13"/>
      <c r="D206" s="13">
        <f>IF(AND($A206&lt;&gt;"",$A206=$A205),D205,"")</f>
      </c>
      <c r="E206" s="13"/>
      <c r="F206" s="13"/>
      <c r="G206" s="15"/>
      <c r="H206" s="15"/>
      <c r="I206" s="16"/>
      <c r="J206" s="13"/>
      <c r="K206" s="13">
        <f>IF(AND($A206&lt;&gt;"",$A206=$A205),K205,"")</f>
      </c>
      <c r="L206" s="13">
        <f>IF(AND($A206&lt;&gt;"",$A206=$A205),L205,"")</f>
      </c>
      <c r="M206" s="13">
        <f>IF(AND($A206&lt;&gt;"",$A206=$A205),M205,"")</f>
      </c>
      <c r="N206" s="10">
        <f>IF(H206="","",H206-G206)</f>
      </c>
      <c r="O206" s="11">
        <f>IFERROR(N206/H206,"")</f>
      </c>
      <c r="P206" s="10">
        <f>IF($A206="","",IF(COUNTIF($A$3:$A206,$A206)=1,SUMIF(cobranza!$B$3:$B$1000,$A206,cobranza!$D$3:$D$1000),"↑"))</f>
      </c>
      <c r="Q206" s="10">
        <f>IF($A206="","",IF(COUNTIF($A$3:$A206,$A206)=1,SUMIFS($H$3:$H$1000,$A$3:$A$1000,$A206,$C$3:$C$1000,"&lt;&gt;Demo")-P206,"↑"))</f>
      </c>
      <c r="R206" s="13"/>
    </row>
    <row r="207" customFormat="false" ht="15" hidden="false" customHeight="false" outlineLevel="0" collapsed="false">
      <c r="A207" s="13"/>
      <c r="B207" s="14"/>
      <c r="C207" s="13"/>
      <c r="D207" s="13">
        <f>IF(AND($A207&lt;&gt;"",$A207=$A206),D206,"")</f>
      </c>
      <c r="E207" s="13"/>
      <c r="F207" s="13"/>
      <c r="G207" s="15"/>
      <c r="H207" s="15"/>
      <c r="I207" s="16"/>
      <c r="J207" s="13"/>
      <c r="K207" s="13">
        <f>IF(AND($A207&lt;&gt;"",$A207=$A206),K206,"")</f>
      </c>
      <c r="L207" s="13">
        <f>IF(AND($A207&lt;&gt;"",$A207=$A206),L206,"")</f>
      </c>
      <c r="M207" s="13">
        <f>IF(AND($A207&lt;&gt;"",$A207=$A206),M206,"")</f>
      </c>
      <c r="N207" s="10">
        <f>IF(H207="","",H207-G207)</f>
      </c>
      <c r="O207" s="11">
        <f>IFERROR(N207/H207,"")</f>
      </c>
      <c r="P207" s="10">
        <f>IF($A207="","",IF(COUNTIF($A$3:$A207,$A207)=1,SUMIF(cobranza!$B$3:$B$1000,$A207,cobranza!$D$3:$D$1000),"↑"))</f>
      </c>
      <c r="Q207" s="10">
        <f>IF($A207="","",IF(COUNTIF($A$3:$A207,$A207)=1,SUMIFS($H$3:$H$1000,$A$3:$A$1000,$A207,$C$3:$C$1000,"&lt;&gt;Demo")-P207,"↑"))</f>
      </c>
      <c r="R207" s="13"/>
    </row>
    <row r="208" customFormat="false" ht="15" hidden="false" customHeight="false" outlineLevel="0" collapsed="false">
      <c r="A208" s="13"/>
      <c r="B208" s="14"/>
      <c r="C208" s="13"/>
      <c r="D208" s="13">
        <f>IF(AND($A208&lt;&gt;"",$A208=$A207),D207,"")</f>
      </c>
      <c r="E208" s="13"/>
      <c r="F208" s="13"/>
      <c r="G208" s="15"/>
      <c r="H208" s="15"/>
      <c r="I208" s="16"/>
      <c r="J208" s="13"/>
      <c r="K208" s="13">
        <f>IF(AND($A208&lt;&gt;"",$A208=$A207),K207,"")</f>
      </c>
      <c r="L208" s="13">
        <f>IF(AND($A208&lt;&gt;"",$A208=$A207),L207,"")</f>
      </c>
      <c r="M208" s="13">
        <f>IF(AND($A208&lt;&gt;"",$A208=$A207),M207,"")</f>
      </c>
      <c r="N208" s="10">
        <f>IF(H208="","",H208-G208)</f>
      </c>
      <c r="O208" s="11">
        <f>IFERROR(N208/H208,"")</f>
      </c>
      <c r="P208" s="10">
        <f>IF($A208="","",IF(COUNTIF($A$3:$A208,$A208)=1,SUMIF(cobranza!$B$3:$B$1000,$A208,cobranza!$D$3:$D$1000),"↑"))</f>
      </c>
      <c r="Q208" s="10">
        <f>IF($A208="","",IF(COUNTIF($A$3:$A208,$A208)=1,SUMIFS($H$3:$H$1000,$A$3:$A$1000,$A208,$C$3:$C$1000,"&lt;&gt;Demo")-P208,"↑"))</f>
      </c>
      <c r="R208" s="13"/>
    </row>
    <row r="209" customFormat="false" ht="15" hidden="false" customHeight="false" outlineLevel="0" collapsed="false">
      <c r="A209" s="13"/>
      <c r="B209" s="14"/>
      <c r="C209" s="13"/>
      <c r="D209" s="13">
        <f>IF(AND($A209&lt;&gt;"",$A209=$A208),D208,"")</f>
      </c>
      <c r="E209" s="13"/>
      <c r="F209" s="13"/>
      <c r="G209" s="15"/>
      <c r="H209" s="15"/>
      <c r="I209" s="16"/>
      <c r="J209" s="13"/>
      <c r="K209" s="13">
        <f>IF(AND($A209&lt;&gt;"",$A209=$A208),K208,"")</f>
      </c>
      <c r="L209" s="13">
        <f>IF(AND($A209&lt;&gt;"",$A209=$A208),L208,"")</f>
      </c>
      <c r="M209" s="13">
        <f>IF(AND($A209&lt;&gt;"",$A209=$A208),M208,"")</f>
      </c>
      <c r="N209" s="10">
        <f>IF(H209="","",H209-G209)</f>
      </c>
      <c r="O209" s="11">
        <f>IFERROR(N209/H209,"")</f>
      </c>
      <c r="P209" s="10">
        <f>IF($A209="","",IF(COUNTIF($A$3:$A209,$A209)=1,SUMIF(cobranza!$B$3:$B$1000,$A209,cobranza!$D$3:$D$1000),"↑"))</f>
      </c>
      <c r="Q209" s="10">
        <f>IF($A209="","",IF(COUNTIF($A$3:$A209,$A209)=1,SUMIFS($H$3:$H$1000,$A$3:$A$1000,$A209,$C$3:$C$1000,"&lt;&gt;Demo")-P209,"↑"))</f>
      </c>
      <c r="R209" s="13"/>
    </row>
    <row r="210" customFormat="false" ht="15" hidden="false" customHeight="false" outlineLevel="0" collapsed="false">
      <c r="A210" s="13"/>
      <c r="B210" s="14"/>
      <c r="C210" s="13"/>
      <c r="D210" s="13">
        <f>IF(AND($A210&lt;&gt;"",$A210=$A209),D209,"")</f>
      </c>
      <c r="E210" s="13"/>
      <c r="F210" s="13"/>
      <c r="G210" s="15"/>
      <c r="H210" s="15"/>
      <c r="I210" s="16"/>
      <c r="J210" s="13"/>
      <c r="K210" s="13">
        <f>IF(AND($A210&lt;&gt;"",$A210=$A209),K209,"")</f>
      </c>
      <c r="L210" s="13">
        <f>IF(AND($A210&lt;&gt;"",$A210=$A209),L209,"")</f>
      </c>
      <c r="M210" s="13">
        <f>IF(AND($A210&lt;&gt;"",$A210=$A209),M209,"")</f>
      </c>
      <c r="N210" s="10">
        <f>IF(H210="","",H210-G210)</f>
      </c>
      <c r="O210" s="11">
        <f>IFERROR(N210/H210,"")</f>
      </c>
      <c r="P210" s="10">
        <f>IF($A210="","",IF(COUNTIF($A$3:$A210,$A210)=1,SUMIF(cobranza!$B$3:$B$1000,$A210,cobranza!$D$3:$D$1000),"↑"))</f>
      </c>
      <c r="Q210" s="10">
        <f>IF($A210="","",IF(COUNTIF($A$3:$A210,$A210)=1,SUMIFS($H$3:$H$1000,$A$3:$A$1000,$A210,$C$3:$C$1000,"&lt;&gt;Demo")-P210,"↑"))</f>
      </c>
      <c r="R210" s="13"/>
    </row>
    <row r="211" customFormat="false" ht="15" hidden="false" customHeight="false" outlineLevel="0" collapsed="false">
      <c r="A211" s="13"/>
      <c r="B211" s="14"/>
      <c r="C211" s="13"/>
      <c r="D211" s="13">
        <f>IF(AND($A211&lt;&gt;"",$A211=$A210),D210,"")</f>
      </c>
      <c r="E211" s="13"/>
      <c r="F211" s="13"/>
      <c r="G211" s="15"/>
      <c r="H211" s="15"/>
      <c r="I211" s="16"/>
      <c r="J211" s="13"/>
      <c r="K211" s="13">
        <f>IF(AND($A211&lt;&gt;"",$A211=$A210),K210,"")</f>
      </c>
      <c r="L211" s="13">
        <f>IF(AND($A211&lt;&gt;"",$A211=$A210),L210,"")</f>
      </c>
      <c r="M211" s="13">
        <f>IF(AND($A211&lt;&gt;"",$A211=$A210),M210,"")</f>
      </c>
      <c r="N211" s="10">
        <f>IF(H211="","",H211-G211)</f>
      </c>
      <c r="O211" s="11">
        <f>IFERROR(N211/H211,"")</f>
      </c>
      <c r="P211" s="10">
        <f>IF($A211="","",IF(COUNTIF($A$3:$A211,$A211)=1,SUMIF(cobranza!$B$3:$B$1000,$A211,cobranza!$D$3:$D$1000),"↑"))</f>
      </c>
      <c r="Q211" s="10">
        <f>IF($A211="","",IF(COUNTIF($A$3:$A211,$A211)=1,SUMIFS($H$3:$H$1000,$A$3:$A$1000,$A211,$C$3:$C$1000,"&lt;&gt;Demo")-P211,"↑"))</f>
      </c>
      <c r="R211" s="13"/>
    </row>
    <row r="212" customFormat="false" ht="15" hidden="false" customHeight="false" outlineLevel="0" collapsed="false">
      <c r="A212" s="13"/>
      <c r="B212" s="14"/>
      <c r="C212" s="13"/>
      <c r="D212" s="13">
        <f>IF(AND($A212&lt;&gt;"",$A212=$A211),D211,"")</f>
      </c>
      <c r="E212" s="13"/>
      <c r="F212" s="13"/>
      <c r="G212" s="15"/>
      <c r="H212" s="15"/>
      <c r="I212" s="16"/>
      <c r="J212" s="13"/>
      <c r="K212" s="13">
        <f>IF(AND($A212&lt;&gt;"",$A212=$A211),K211,"")</f>
      </c>
      <c r="L212" s="13">
        <f>IF(AND($A212&lt;&gt;"",$A212=$A211),L211,"")</f>
      </c>
      <c r="M212" s="13">
        <f>IF(AND($A212&lt;&gt;"",$A212=$A211),M211,"")</f>
      </c>
      <c r="N212" s="10">
        <f>IF(H212="","",H212-G212)</f>
      </c>
      <c r="O212" s="11">
        <f>IFERROR(N212/H212,"")</f>
      </c>
      <c r="P212" s="10">
        <f>IF($A212="","",IF(COUNTIF($A$3:$A212,$A212)=1,SUMIF(cobranza!$B$3:$B$1000,$A212,cobranza!$D$3:$D$1000),"↑"))</f>
      </c>
      <c r="Q212" s="10">
        <f>IF($A212="","",IF(COUNTIF($A$3:$A212,$A212)=1,SUMIFS($H$3:$H$1000,$A$3:$A$1000,$A212,$C$3:$C$1000,"&lt;&gt;Demo")-P212,"↑"))</f>
      </c>
      <c r="R212" s="13"/>
    </row>
    <row r="213" customFormat="false" ht="15" hidden="false" customHeight="false" outlineLevel="0" collapsed="false">
      <c r="A213" s="13"/>
      <c r="B213" s="14"/>
      <c r="C213" s="13"/>
      <c r="D213" s="13">
        <f>IF(AND($A213&lt;&gt;"",$A213=$A212),D212,"")</f>
      </c>
      <c r="E213" s="13"/>
      <c r="F213" s="13"/>
      <c r="G213" s="15"/>
      <c r="H213" s="15"/>
      <c r="I213" s="16"/>
      <c r="J213" s="13"/>
      <c r="K213" s="13">
        <f>IF(AND($A213&lt;&gt;"",$A213=$A212),K212,"")</f>
      </c>
      <c r="L213" s="13">
        <f>IF(AND($A213&lt;&gt;"",$A213=$A212),L212,"")</f>
      </c>
      <c r="M213" s="13">
        <f>IF(AND($A213&lt;&gt;"",$A213=$A212),M212,"")</f>
      </c>
      <c r="N213" s="10">
        <f>IF(H213="","",H213-G213)</f>
      </c>
      <c r="O213" s="11">
        <f>IFERROR(N213/H213,"")</f>
      </c>
      <c r="P213" s="10">
        <f>IF($A213="","",IF(COUNTIF($A$3:$A213,$A213)=1,SUMIF(cobranza!$B$3:$B$1000,$A213,cobranza!$D$3:$D$1000),"↑"))</f>
      </c>
      <c r="Q213" s="10">
        <f>IF($A213="","",IF(COUNTIF($A$3:$A213,$A213)=1,SUMIFS($H$3:$H$1000,$A$3:$A$1000,$A213,$C$3:$C$1000,"&lt;&gt;Demo")-P213,"↑"))</f>
      </c>
      <c r="R213" s="13"/>
    </row>
    <row r="214" customFormat="false" ht="15" hidden="false" customHeight="false" outlineLevel="0" collapsed="false">
      <c r="A214" s="13"/>
      <c r="B214" s="14"/>
      <c r="C214" s="13"/>
      <c r="D214" s="13">
        <f>IF(AND($A214&lt;&gt;"",$A214=$A213),D213,"")</f>
      </c>
      <c r="E214" s="13"/>
      <c r="F214" s="13"/>
      <c r="G214" s="15"/>
      <c r="H214" s="15"/>
      <c r="I214" s="16"/>
      <c r="J214" s="13"/>
      <c r="K214" s="13">
        <f>IF(AND($A214&lt;&gt;"",$A214=$A213),K213,"")</f>
      </c>
      <c r="L214" s="13">
        <f>IF(AND($A214&lt;&gt;"",$A214=$A213),L213,"")</f>
      </c>
      <c r="M214" s="13">
        <f>IF(AND($A214&lt;&gt;"",$A214=$A213),M213,"")</f>
      </c>
      <c r="N214" s="10">
        <f>IF(H214="","",H214-G214)</f>
      </c>
      <c r="O214" s="11">
        <f>IFERROR(N214/H214,"")</f>
      </c>
      <c r="P214" s="10">
        <f>IF($A214="","",IF(COUNTIF($A$3:$A214,$A214)=1,SUMIF(cobranza!$B$3:$B$1000,$A214,cobranza!$D$3:$D$1000),"↑"))</f>
      </c>
      <c r="Q214" s="10">
        <f>IF($A214="","",IF(COUNTIF($A$3:$A214,$A214)=1,SUMIFS($H$3:$H$1000,$A$3:$A$1000,$A214,$C$3:$C$1000,"&lt;&gt;Demo")-P214,"↑"))</f>
      </c>
      <c r="R214" s="13"/>
    </row>
    <row r="215" customFormat="false" ht="15" hidden="false" customHeight="false" outlineLevel="0" collapsed="false">
      <c r="A215" s="13"/>
      <c r="B215" s="14"/>
      <c r="C215" s="13"/>
      <c r="D215" s="13">
        <f>IF(AND($A215&lt;&gt;"",$A215=$A214),D214,"")</f>
      </c>
      <c r="E215" s="13"/>
      <c r="F215" s="13"/>
      <c r="G215" s="15"/>
      <c r="H215" s="15"/>
      <c r="I215" s="16"/>
      <c r="J215" s="13"/>
      <c r="K215" s="13">
        <f>IF(AND($A215&lt;&gt;"",$A215=$A214),K214,"")</f>
      </c>
      <c r="L215" s="13">
        <f>IF(AND($A215&lt;&gt;"",$A215=$A214),L214,"")</f>
      </c>
      <c r="M215" s="13">
        <f>IF(AND($A215&lt;&gt;"",$A215=$A214),M214,"")</f>
      </c>
      <c r="N215" s="10">
        <f>IF(H215="","",H215-G215)</f>
      </c>
      <c r="O215" s="11">
        <f>IFERROR(N215/H215,"")</f>
      </c>
      <c r="P215" s="10">
        <f>IF($A215="","",IF(COUNTIF($A$3:$A215,$A215)=1,SUMIF(cobranza!$B$3:$B$1000,$A215,cobranza!$D$3:$D$1000),"↑"))</f>
      </c>
      <c r="Q215" s="10">
        <f>IF($A215="","",IF(COUNTIF($A$3:$A215,$A215)=1,SUMIFS($H$3:$H$1000,$A$3:$A$1000,$A215,$C$3:$C$1000,"&lt;&gt;Demo")-P215,"↑"))</f>
      </c>
      <c r="R215" s="13"/>
    </row>
    <row r="216" customFormat="false" ht="15" hidden="false" customHeight="false" outlineLevel="0" collapsed="false">
      <c r="A216" s="13"/>
      <c r="B216" s="14"/>
      <c r="C216" s="13"/>
      <c r="D216" s="13">
        <f>IF(AND($A216&lt;&gt;"",$A216=$A215),D215,"")</f>
      </c>
      <c r="E216" s="13"/>
      <c r="F216" s="13"/>
      <c r="G216" s="15"/>
      <c r="H216" s="15"/>
      <c r="I216" s="16"/>
      <c r="J216" s="13"/>
      <c r="K216" s="13">
        <f>IF(AND($A216&lt;&gt;"",$A216=$A215),K215,"")</f>
      </c>
      <c r="L216" s="13">
        <f>IF(AND($A216&lt;&gt;"",$A216=$A215),L215,"")</f>
      </c>
      <c r="M216" s="13">
        <f>IF(AND($A216&lt;&gt;"",$A216=$A215),M215,"")</f>
      </c>
      <c r="N216" s="10">
        <f>IF(H216="","",H216-G216)</f>
      </c>
      <c r="O216" s="11">
        <f>IFERROR(N216/H216,"")</f>
      </c>
      <c r="P216" s="10">
        <f>IF($A216="","",IF(COUNTIF($A$3:$A216,$A216)=1,SUMIF(cobranza!$B$3:$B$1000,$A216,cobranza!$D$3:$D$1000),"↑"))</f>
      </c>
      <c r="Q216" s="10">
        <f>IF($A216="","",IF(COUNTIF($A$3:$A216,$A216)=1,SUMIFS($H$3:$H$1000,$A$3:$A$1000,$A216,$C$3:$C$1000,"&lt;&gt;Demo")-P216,"↑"))</f>
      </c>
      <c r="R216" s="13"/>
    </row>
    <row r="217" customFormat="false" ht="15" hidden="false" customHeight="false" outlineLevel="0" collapsed="false">
      <c r="A217" s="13"/>
      <c r="B217" s="14"/>
      <c r="C217" s="13"/>
      <c r="D217" s="13">
        <f>IF(AND($A217&lt;&gt;"",$A217=$A216),D216,"")</f>
      </c>
      <c r="E217" s="13"/>
      <c r="F217" s="13"/>
      <c r="G217" s="15"/>
      <c r="H217" s="15"/>
      <c r="I217" s="16"/>
      <c r="J217" s="13"/>
      <c r="K217" s="13">
        <f>IF(AND($A217&lt;&gt;"",$A217=$A216),K216,"")</f>
      </c>
      <c r="L217" s="13">
        <f>IF(AND($A217&lt;&gt;"",$A217=$A216),L216,"")</f>
      </c>
      <c r="M217" s="13">
        <f>IF(AND($A217&lt;&gt;"",$A217=$A216),M216,"")</f>
      </c>
      <c r="N217" s="10">
        <f>IF(H217="","",H217-G217)</f>
      </c>
      <c r="O217" s="11">
        <f>IFERROR(N217/H217,"")</f>
      </c>
      <c r="P217" s="10">
        <f>IF($A217="","",IF(COUNTIF($A$3:$A217,$A217)=1,SUMIF(cobranza!$B$3:$B$1000,$A217,cobranza!$D$3:$D$1000),"↑"))</f>
      </c>
      <c r="Q217" s="10">
        <f>IF($A217="","",IF(COUNTIF($A$3:$A217,$A217)=1,SUMIFS($H$3:$H$1000,$A$3:$A$1000,$A217,$C$3:$C$1000,"&lt;&gt;Demo")-P217,"↑"))</f>
      </c>
      <c r="R217" s="13"/>
    </row>
    <row r="218" customFormat="false" ht="15" hidden="false" customHeight="false" outlineLevel="0" collapsed="false">
      <c r="A218" s="13"/>
      <c r="B218" s="14"/>
      <c r="C218" s="13"/>
      <c r="D218" s="13">
        <f>IF(AND($A218&lt;&gt;"",$A218=$A217),D217,"")</f>
      </c>
      <c r="E218" s="13"/>
      <c r="F218" s="13"/>
      <c r="G218" s="15"/>
      <c r="H218" s="15"/>
      <c r="I218" s="16"/>
      <c r="J218" s="13"/>
      <c r="K218" s="13">
        <f>IF(AND($A218&lt;&gt;"",$A218=$A217),K217,"")</f>
      </c>
      <c r="L218" s="13">
        <f>IF(AND($A218&lt;&gt;"",$A218=$A217),L217,"")</f>
      </c>
      <c r="M218" s="13">
        <f>IF(AND($A218&lt;&gt;"",$A218=$A217),M217,"")</f>
      </c>
      <c r="N218" s="10">
        <f>IF(H218="","",H218-G218)</f>
      </c>
      <c r="O218" s="11">
        <f>IFERROR(N218/H218,"")</f>
      </c>
      <c r="P218" s="10">
        <f>IF($A218="","",IF(COUNTIF($A$3:$A218,$A218)=1,SUMIF(cobranza!$B$3:$B$1000,$A218,cobranza!$D$3:$D$1000),"↑"))</f>
      </c>
      <c r="Q218" s="10">
        <f>IF($A218="","",IF(COUNTIF($A$3:$A218,$A218)=1,SUMIFS($H$3:$H$1000,$A$3:$A$1000,$A218,$C$3:$C$1000,"&lt;&gt;Demo")-P218,"↑"))</f>
      </c>
      <c r="R218" s="13"/>
    </row>
    <row r="219" customFormat="false" ht="15" hidden="false" customHeight="false" outlineLevel="0" collapsed="false">
      <c r="A219" s="13"/>
      <c r="B219" s="14"/>
      <c r="C219" s="13"/>
      <c r="D219" s="13">
        <f>IF(AND($A219&lt;&gt;"",$A219=$A218),D218,"")</f>
      </c>
      <c r="E219" s="13"/>
      <c r="F219" s="13"/>
      <c r="G219" s="15"/>
      <c r="H219" s="15"/>
      <c r="I219" s="16"/>
      <c r="J219" s="13"/>
      <c r="K219" s="13">
        <f>IF(AND($A219&lt;&gt;"",$A219=$A218),K218,"")</f>
      </c>
      <c r="L219" s="13">
        <f>IF(AND($A219&lt;&gt;"",$A219=$A218),L218,"")</f>
      </c>
      <c r="M219" s="13">
        <f>IF(AND($A219&lt;&gt;"",$A219=$A218),M218,"")</f>
      </c>
      <c r="N219" s="10">
        <f>IF(H219="","",H219-G219)</f>
      </c>
      <c r="O219" s="11">
        <f>IFERROR(N219/H219,"")</f>
      </c>
      <c r="P219" s="10">
        <f>IF($A219="","",IF(COUNTIF($A$3:$A219,$A219)=1,SUMIF(cobranza!$B$3:$B$1000,$A219,cobranza!$D$3:$D$1000),"↑"))</f>
      </c>
      <c r="Q219" s="10">
        <f>IF($A219="","",IF(COUNTIF($A$3:$A219,$A219)=1,SUMIFS($H$3:$H$1000,$A$3:$A$1000,$A219,$C$3:$C$1000,"&lt;&gt;Demo")-P219,"↑"))</f>
      </c>
      <c r="R219" s="13"/>
    </row>
    <row r="220" customFormat="false" ht="15" hidden="false" customHeight="false" outlineLevel="0" collapsed="false">
      <c r="A220" s="13"/>
      <c r="B220" s="14"/>
      <c r="C220" s="13"/>
      <c r="D220" s="13">
        <f>IF(AND($A220&lt;&gt;"",$A220=$A219),D219,"")</f>
      </c>
      <c r="E220" s="13"/>
      <c r="F220" s="13"/>
      <c r="G220" s="15"/>
      <c r="H220" s="15"/>
      <c r="I220" s="16"/>
      <c r="J220" s="13"/>
      <c r="K220" s="13">
        <f>IF(AND($A220&lt;&gt;"",$A220=$A219),K219,"")</f>
      </c>
      <c r="L220" s="13">
        <f>IF(AND($A220&lt;&gt;"",$A220=$A219),L219,"")</f>
      </c>
      <c r="M220" s="13">
        <f>IF(AND($A220&lt;&gt;"",$A220=$A219),M219,"")</f>
      </c>
      <c r="N220" s="10">
        <f>IF(H220="","",H220-G220)</f>
      </c>
      <c r="O220" s="11">
        <f>IFERROR(N220/H220,"")</f>
      </c>
      <c r="P220" s="10">
        <f>IF($A220="","",IF(COUNTIF($A$3:$A220,$A220)=1,SUMIF(cobranza!$B$3:$B$1000,$A220,cobranza!$D$3:$D$1000),"↑"))</f>
      </c>
      <c r="Q220" s="10">
        <f>IF($A220="","",IF(COUNTIF($A$3:$A220,$A220)=1,SUMIFS($H$3:$H$1000,$A$3:$A$1000,$A220,$C$3:$C$1000,"&lt;&gt;Demo")-P220,"↑"))</f>
      </c>
      <c r="R220" s="13"/>
    </row>
    <row r="221" customFormat="false" ht="15" hidden="false" customHeight="false" outlineLevel="0" collapsed="false">
      <c r="A221" s="13"/>
      <c r="B221" s="14"/>
      <c r="C221" s="13"/>
      <c r="D221" s="13">
        <f>IF(AND($A221&lt;&gt;"",$A221=$A220),D220,"")</f>
      </c>
      <c r="E221" s="13"/>
      <c r="F221" s="13"/>
      <c r="G221" s="15"/>
      <c r="H221" s="15"/>
      <c r="I221" s="16"/>
      <c r="J221" s="13"/>
      <c r="K221" s="13">
        <f>IF(AND($A221&lt;&gt;"",$A221=$A220),K220,"")</f>
      </c>
      <c r="L221" s="13">
        <f>IF(AND($A221&lt;&gt;"",$A221=$A220),L220,"")</f>
      </c>
      <c r="M221" s="13">
        <f>IF(AND($A221&lt;&gt;"",$A221=$A220),M220,"")</f>
      </c>
      <c r="N221" s="10">
        <f>IF(H221="","",H221-G221)</f>
      </c>
      <c r="O221" s="11">
        <f>IFERROR(N221/H221,"")</f>
      </c>
      <c r="P221" s="10">
        <f>IF($A221="","",IF(COUNTIF($A$3:$A221,$A221)=1,SUMIF(cobranza!$B$3:$B$1000,$A221,cobranza!$D$3:$D$1000),"↑"))</f>
      </c>
      <c r="Q221" s="10">
        <f>IF($A221="","",IF(COUNTIF($A$3:$A221,$A221)=1,SUMIFS($H$3:$H$1000,$A$3:$A$1000,$A221,$C$3:$C$1000,"&lt;&gt;Demo")-P221,"↑"))</f>
      </c>
      <c r="R221" s="13"/>
    </row>
    <row r="222" customFormat="false" ht="15" hidden="false" customHeight="false" outlineLevel="0" collapsed="false">
      <c r="A222" s="13"/>
      <c r="B222" s="14"/>
      <c r="C222" s="13"/>
      <c r="D222" s="13">
        <f>IF(AND($A222&lt;&gt;"",$A222=$A221),D221,"")</f>
      </c>
      <c r="E222" s="13"/>
      <c r="F222" s="13"/>
      <c r="G222" s="15"/>
      <c r="H222" s="15"/>
      <c r="I222" s="16"/>
      <c r="J222" s="13"/>
      <c r="K222" s="13">
        <f>IF(AND($A222&lt;&gt;"",$A222=$A221),K221,"")</f>
      </c>
      <c r="L222" s="13">
        <f>IF(AND($A222&lt;&gt;"",$A222=$A221),L221,"")</f>
      </c>
      <c r="M222" s="13">
        <f>IF(AND($A222&lt;&gt;"",$A222=$A221),M221,"")</f>
      </c>
      <c r="N222" s="10">
        <f>IF(H222="","",H222-G222)</f>
      </c>
      <c r="O222" s="11">
        <f>IFERROR(N222/H222,"")</f>
      </c>
      <c r="P222" s="10">
        <f>IF($A222="","",IF(COUNTIF($A$3:$A222,$A222)=1,SUMIF(cobranza!$B$3:$B$1000,$A222,cobranza!$D$3:$D$1000),"↑"))</f>
      </c>
      <c r="Q222" s="10">
        <f>IF($A222="","",IF(COUNTIF($A$3:$A222,$A222)=1,SUMIFS($H$3:$H$1000,$A$3:$A$1000,$A222,$C$3:$C$1000,"&lt;&gt;Demo")-P222,"↑"))</f>
      </c>
      <c r="R222" s="13"/>
    </row>
    <row r="223" customFormat="false" ht="15" hidden="false" customHeight="false" outlineLevel="0" collapsed="false">
      <c r="A223" s="13"/>
      <c r="B223" s="14"/>
      <c r="C223" s="13"/>
      <c r="D223" s="13">
        <f>IF(AND($A223&lt;&gt;"",$A223=$A222),D222,"")</f>
      </c>
      <c r="E223" s="13"/>
      <c r="F223" s="13"/>
      <c r="G223" s="15"/>
      <c r="H223" s="15"/>
      <c r="I223" s="16"/>
      <c r="J223" s="13"/>
      <c r="K223" s="13">
        <f>IF(AND($A223&lt;&gt;"",$A223=$A222),K222,"")</f>
      </c>
      <c r="L223" s="13">
        <f>IF(AND($A223&lt;&gt;"",$A223=$A222),L222,"")</f>
      </c>
      <c r="M223" s="13">
        <f>IF(AND($A223&lt;&gt;"",$A223=$A222),M222,"")</f>
      </c>
      <c r="N223" s="10">
        <f>IF(H223="","",H223-G223)</f>
      </c>
      <c r="O223" s="11">
        <f>IFERROR(N223/H223,"")</f>
      </c>
      <c r="P223" s="10">
        <f>IF($A223="","",IF(COUNTIF($A$3:$A223,$A223)=1,SUMIF(cobranza!$B$3:$B$1000,$A223,cobranza!$D$3:$D$1000),"↑"))</f>
      </c>
      <c r="Q223" s="10">
        <f>IF($A223="","",IF(COUNTIF($A$3:$A223,$A223)=1,SUMIFS($H$3:$H$1000,$A$3:$A$1000,$A223,$C$3:$C$1000,"&lt;&gt;Demo")-P223,"↑"))</f>
      </c>
      <c r="R223" s="13"/>
    </row>
    <row r="224" customFormat="false" ht="15" hidden="false" customHeight="false" outlineLevel="0" collapsed="false">
      <c r="A224" s="13"/>
      <c r="B224" s="14"/>
      <c r="C224" s="13"/>
      <c r="D224" s="13">
        <f>IF(AND($A224&lt;&gt;"",$A224=$A223),D223,"")</f>
      </c>
      <c r="E224" s="13"/>
      <c r="F224" s="13"/>
      <c r="G224" s="15"/>
      <c r="H224" s="15"/>
      <c r="I224" s="16"/>
      <c r="J224" s="13"/>
      <c r="K224" s="13">
        <f>IF(AND($A224&lt;&gt;"",$A224=$A223),K223,"")</f>
      </c>
      <c r="L224" s="13">
        <f>IF(AND($A224&lt;&gt;"",$A224=$A223),L223,"")</f>
      </c>
      <c r="M224" s="13">
        <f>IF(AND($A224&lt;&gt;"",$A224=$A223),M223,"")</f>
      </c>
      <c r="N224" s="10">
        <f>IF(H224="","",H224-G224)</f>
      </c>
      <c r="O224" s="11">
        <f>IFERROR(N224/H224,"")</f>
      </c>
      <c r="P224" s="10">
        <f>IF($A224="","",IF(COUNTIF($A$3:$A224,$A224)=1,SUMIF(cobranza!$B$3:$B$1000,$A224,cobranza!$D$3:$D$1000),"↑"))</f>
      </c>
      <c r="Q224" s="10">
        <f>IF($A224="","",IF(COUNTIF($A$3:$A224,$A224)=1,SUMIFS($H$3:$H$1000,$A$3:$A$1000,$A224,$C$3:$C$1000,"&lt;&gt;Demo")-P224,"↑"))</f>
      </c>
      <c r="R224" s="13"/>
    </row>
    <row r="225" customFormat="false" ht="15" hidden="false" customHeight="false" outlineLevel="0" collapsed="false">
      <c r="A225" s="13"/>
      <c r="B225" s="14"/>
      <c r="C225" s="13"/>
      <c r="D225" s="13">
        <f>IF(AND($A225&lt;&gt;"",$A225=$A224),D224,"")</f>
      </c>
      <c r="E225" s="13"/>
      <c r="F225" s="13"/>
      <c r="G225" s="15"/>
      <c r="H225" s="15"/>
      <c r="I225" s="16"/>
      <c r="J225" s="13"/>
      <c r="K225" s="13">
        <f>IF(AND($A225&lt;&gt;"",$A225=$A224),K224,"")</f>
      </c>
      <c r="L225" s="13">
        <f>IF(AND($A225&lt;&gt;"",$A225=$A224),L224,"")</f>
      </c>
      <c r="M225" s="13">
        <f>IF(AND($A225&lt;&gt;"",$A225=$A224),M224,"")</f>
      </c>
      <c r="N225" s="10">
        <f>IF(H225="","",H225-G225)</f>
      </c>
      <c r="O225" s="11">
        <f>IFERROR(N225/H225,"")</f>
      </c>
      <c r="P225" s="10">
        <f>IF($A225="","",IF(COUNTIF($A$3:$A225,$A225)=1,SUMIF(cobranza!$B$3:$B$1000,$A225,cobranza!$D$3:$D$1000),"↑"))</f>
      </c>
      <c r="Q225" s="10">
        <f>IF($A225="","",IF(COUNTIF($A$3:$A225,$A225)=1,SUMIFS($H$3:$H$1000,$A$3:$A$1000,$A225,$C$3:$C$1000,"&lt;&gt;Demo")-P225,"↑"))</f>
      </c>
      <c r="R225" s="13"/>
    </row>
    <row r="226" customFormat="false" ht="15" hidden="false" customHeight="false" outlineLevel="0" collapsed="false">
      <c r="A226" s="13"/>
      <c r="B226" s="14"/>
      <c r="C226" s="13"/>
      <c r="D226" s="13">
        <f>IF(AND($A226&lt;&gt;"",$A226=$A225),D225,"")</f>
      </c>
      <c r="E226" s="13"/>
      <c r="F226" s="13"/>
      <c r="G226" s="15"/>
      <c r="H226" s="15"/>
      <c r="I226" s="16"/>
      <c r="J226" s="13"/>
      <c r="K226" s="13">
        <f>IF(AND($A226&lt;&gt;"",$A226=$A225),K225,"")</f>
      </c>
      <c r="L226" s="13">
        <f>IF(AND($A226&lt;&gt;"",$A226=$A225),L225,"")</f>
      </c>
      <c r="M226" s="13">
        <f>IF(AND($A226&lt;&gt;"",$A226=$A225),M225,"")</f>
      </c>
      <c r="N226" s="10">
        <f>IF(H226="","",H226-G226)</f>
      </c>
      <c r="O226" s="11">
        <f>IFERROR(N226/H226,"")</f>
      </c>
      <c r="P226" s="10">
        <f>IF($A226="","",IF(COUNTIF($A$3:$A226,$A226)=1,SUMIF(cobranza!$B$3:$B$1000,$A226,cobranza!$D$3:$D$1000),"↑"))</f>
      </c>
      <c r="Q226" s="10">
        <f>IF($A226="","",IF(COUNTIF($A$3:$A226,$A226)=1,SUMIFS($H$3:$H$1000,$A$3:$A$1000,$A226,$C$3:$C$1000,"&lt;&gt;Demo")-P226,"↑"))</f>
      </c>
      <c r="R226" s="13"/>
    </row>
    <row r="227" customFormat="false" ht="15" hidden="false" customHeight="false" outlineLevel="0" collapsed="false">
      <c r="A227" s="13"/>
      <c r="B227" s="14"/>
      <c r="C227" s="13"/>
      <c r="D227" s="13">
        <f>IF(AND($A227&lt;&gt;"",$A227=$A226),D226,"")</f>
      </c>
      <c r="E227" s="13"/>
      <c r="F227" s="13"/>
      <c r="G227" s="15"/>
      <c r="H227" s="15"/>
      <c r="I227" s="16"/>
      <c r="J227" s="13"/>
      <c r="K227" s="13">
        <f>IF(AND($A227&lt;&gt;"",$A227=$A226),K226,"")</f>
      </c>
      <c r="L227" s="13">
        <f>IF(AND($A227&lt;&gt;"",$A227=$A226),L226,"")</f>
      </c>
      <c r="M227" s="13">
        <f>IF(AND($A227&lt;&gt;"",$A227=$A226),M226,"")</f>
      </c>
      <c r="N227" s="10">
        <f>IF(H227="","",H227-G227)</f>
      </c>
      <c r="O227" s="11">
        <f>IFERROR(N227/H227,"")</f>
      </c>
      <c r="P227" s="10">
        <f>IF($A227="","",IF(COUNTIF($A$3:$A227,$A227)=1,SUMIF(cobranza!$B$3:$B$1000,$A227,cobranza!$D$3:$D$1000),"↑"))</f>
      </c>
      <c r="Q227" s="10">
        <f>IF($A227="","",IF(COUNTIF($A$3:$A227,$A227)=1,SUMIFS($H$3:$H$1000,$A$3:$A$1000,$A227,$C$3:$C$1000,"&lt;&gt;Demo")-P227,"↑"))</f>
      </c>
      <c r="R227" s="13"/>
    </row>
    <row r="228" customFormat="false" ht="15" hidden="false" customHeight="false" outlineLevel="0" collapsed="false">
      <c r="A228" s="13"/>
      <c r="B228" s="14"/>
      <c r="C228" s="13"/>
      <c r="D228" s="13">
        <f>IF(AND($A228&lt;&gt;"",$A228=$A227),D227,"")</f>
      </c>
      <c r="E228" s="13"/>
      <c r="F228" s="13"/>
      <c r="G228" s="15"/>
      <c r="H228" s="15"/>
      <c r="I228" s="16"/>
      <c r="J228" s="13"/>
      <c r="K228" s="13">
        <f>IF(AND($A228&lt;&gt;"",$A228=$A227),K227,"")</f>
      </c>
      <c r="L228" s="13">
        <f>IF(AND($A228&lt;&gt;"",$A228=$A227),L227,"")</f>
      </c>
      <c r="M228" s="13">
        <f>IF(AND($A228&lt;&gt;"",$A228=$A227),M227,"")</f>
      </c>
      <c r="N228" s="10">
        <f>IF(H228="","",H228-G228)</f>
      </c>
      <c r="O228" s="11">
        <f>IFERROR(N228/H228,"")</f>
      </c>
      <c r="P228" s="10">
        <f>IF($A228="","",IF(COUNTIF($A$3:$A228,$A228)=1,SUMIF(cobranza!$B$3:$B$1000,$A228,cobranza!$D$3:$D$1000),"↑"))</f>
      </c>
      <c r="Q228" s="10">
        <f>IF($A228="","",IF(COUNTIF($A$3:$A228,$A228)=1,SUMIFS($H$3:$H$1000,$A$3:$A$1000,$A228,$C$3:$C$1000,"&lt;&gt;Demo")-P228,"↑"))</f>
      </c>
      <c r="R228" s="13"/>
    </row>
    <row r="229" customFormat="false" ht="15" hidden="false" customHeight="false" outlineLevel="0" collapsed="false">
      <c r="A229" s="13"/>
      <c r="B229" s="14"/>
      <c r="C229" s="13"/>
      <c r="D229" s="13">
        <f>IF(AND($A229&lt;&gt;"",$A229=$A228),D228,"")</f>
      </c>
      <c r="E229" s="13"/>
      <c r="F229" s="13"/>
      <c r="G229" s="15"/>
      <c r="H229" s="15"/>
      <c r="I229" s="16"/>
      <c r="J229" s="13"/>
      <c r="K229" s="13">
        <f>IF(AND($A229&lt;&gt;"",$A229=$A228),K228,"")</f>
      </c>
      <c r="L229" s="13">
        <f>IF(AND($A229&lt;&gt;"",$A229=$A228),L228,"")</f>
      </c>
      <c r="M229" s="13">
        <f>IF(AND($A229&lt;&gt;"",$A229=$A228),M228,"")</f>
      </c>
      <c r="N229" s="10">
        <f>IF(H229="","",H229-G229)</f>
      </c>
      <c r="O229" s="11">
        <f>IFERROR(N229/H229,"")</f>
      </c>
      <c r="P229" s="10">
        <f>IF($A229="","",IF(COUNTIF($A$3:$A229,$A229)=1,SUMIF(cobranza!$B$3:$B$1000,$A229,cobranza!$D$3:$D$1000),"↑"))</f>
      </c>
      <c r="Q229" s="10">
        <f>IF($A229="","",IF(COUNTIF($A$3:$A229,$A229)=1,SUMIFS($H$3:$H$1000,$A$3:$A$1000,$A229,$C$3:$C$1000,"&lt;&gt;Demo")-P229,"↑"))</f>
      </c>
      <c r="R229" s="13"/>
    </row>
    <row r="230" customFormat="false" ht="15" hidden="false" customHeight="false" outlineLevel="0" collapsed="false">
      <c r="A230" s="13"/>
      <c r="B230" s="14"/>
      <c r="C230" s="13"/>
      <c r="D230" s="13">
        <f>IF(AND($A230&lt;&gt;"",$A230=$A229),D229,"")</f>
      </c>
      <c r="E230" s="13"/>
      <c r="F230" s="13"/>
      <c r="G230" s="15"/>
      <c r="H230" s="15"/>
      <c r="I230" s="16"/>
      <c r="J230" s="13"/>
      <c r="K230" s="13">
        <f>IF(AND($A230&lt;&gt;"",$A230=$A229),K229,"")</f>
      </c>
      <c r="L230" s="13">
        <f>IF(AND($A230&lt;&gt;"",$A230=$A229),L229,"")</f>
      </c>
      <c r="M230" s="13">
        <f>IF(AND($A230&lt;&gt;"",$A230=$A229),M229,"")</f>
      </c>
      <c r="N230" s="10">
        <f>IF(H230="","",H230-G230)</f>
      </c>
      <c r="O230" s="11">
        <f>IFERROR(N230/H230,"")</f>
      </c>
      <c r="P230" s="10">
        <f>IF($A230="","",IF(COUNTIF($A$3:$A230,$A230)=1,SUMIF(cobranza!$B$3:$B$1000,$A230,cobranza!$D$3:$D$1000),"↑"))</f>
      </c>
      <c r="Q230" s="10">
        <f>IF($A230="","",IF(COUNTIF($A$3:$A230,$A230)=1,SUMIFS($H$3:$H$1000,$A$3:$A$1000,$A230,$C$3:$C$1000,"&lt;&gt;Demo")-P230,"↑"))</f>
      </c>
      <c r="R230" s="13"/>
    </row>
    <row r="231" customFormat="false" ht="15" hidden="false" customHeight="false" outlineLevel="0" collapsed="false">
      <c r="A231" s="13"/>
      <c r="B231" s="14"/>
      <c r="C231" s="13"/>
      <c r="D231" s="13">
        <f>IF(AND($A231&lt;&gt;"",$A231=$A230),D230,"")</f>
      </c>
      <c r="E231" s="13"/>
      <c r="F231" s="13"/>
      <c r="G231" s="15"/>
      <c r="H231" s="15"/>
      <c r="I231" s="16"/>
      <c r="J231" s="13"/>
      <c r="K231" s="13">
        <f>IF(AND($A231&lt;&gt;"",$A231=$A230),K230,"")</f>
      </c>
      <c r="L231" s="13">
        <f>IF(AND($A231&lt;&gt;"",$A231=$A230),L230,"")</f>
      </c>
      <c r="M231" s="13">
        <f>IF(AND($A231&lt;&gt;"",$A231=$A230),M230,"")</f>
      </c>
      <c r="N231" s="10">
        <f>IF(H231="","",H231-G231)</f>
      </c>
      <c r="O231" s="11">
        <f>IFERROR(N231/H231,"")</f>
      </c>
      <c r="P231" s="10">
        <f>IF($A231="","",IF(COUNTIF($A$3:$A231,$A231)=1,SUMIF(cobranza!$B$3:$B$1000,$A231,cobranza!$D$3:$D$1000),"↑"))</f>
      </c>
      <c r="Q231" s="10">
        <f>IF($A231="","",IF(COUNTIF($A$3:$A231,$A231)=1,SUMIFS($H$3:$H$1000,$A$3:$A$1000,$A231,$C$3:$C$1000,"&lt;&gt;Demo")-P231,"↑"))</f>
      </c>
      <c r="R231" s="13"/>
    </row>
    <row r="232" customFormat="false" ht="15" hidden="false" customHeight="false" outlineLevel="0" collapsed="false">
      <c r="A232" s="13"/>
      <c r="B232" s="14"/>
      <c r="C232" s="13"/>
      <c r="D232" s="13">
        <f>IF(AND($A232&lt;&gt;"",$A232=$A231),D231,"")</f>
      </c>
      <c r="E232" s="13"/>
      <c r="F232" s="13"/>
      <c r="G232" s="15"/>
      <c r="H232" s="15"/>
      <c r="I232" s="16"/>
      <c r="J232" s="13"/>
      <c r="K232" s="13">
        <f>IF(AND($A232&lt;&gt;"",$A232=$A231),K231,"")</f>
      </c>
      <c r="L232" s="13">
        <f>IF(AND($A232&lt;&gt;"",$A232=$A231),L231,"")</f>
      </c>
      <c r="M232" s="13">
        <f>IF(AND($A232&lt;&gt;"",$A232=$A231),M231,"")</f>
      </c>
      <c r="N232" s="10">
        <f>IF(H232="","",H232-G232)</f>
      </c>
      <c r="O232" s="11">
        <f>IFERROR(N232/H232,"")</f>
      </c>
      <c r="P232" s="10">
        <f>IF($A232="","",IF(COUNTIF($A$3:$A232,$A232)=1,SUMIF(cobranza!$B$3:$B$1000,$A232,cobranza!$D$3:$D$1000),"↑"))</f>
      </c>
      <c r="Q232" s="10">
        <f>IF($A232="","",IF(COUNTIF($A$3:$A232,$A232)=1,SUMIFS($H$3:$H$1000,$A$3:$A$1000,$A232,$C$3:$C$1000,"&lt;&gt;Demo")-P232,"↑"))</f>
      </c>
      <c r="R232" s="13"/>
    </row>
    <row r="233" customFormat="false" ht="15" hidden="false" customHeight="false" outlineLevel="0" collapsed="false">
      <c r="A233" s="13"/>
      <c r="B233" s="14"/>
      <c r="C233" s="13"/>
      <c r="D233" s="13">
        <f>IF(AND($A233&lt;&gt;"",$A233=$A232),D232,"")</f>
      </c>
      <c r="E233" s="13"/>
      <c r="F233" s="13"/>
      <c r="G233" s="15"/>
      <c r="H233" s="15"/>
      <c r="I233" s="16"/>
      <c r="J233" s="13"/>
      <c r="K233" s="13">
        <f>IF(AND($A233&lt;&gt;"",$A233=$A232),K232,"")</f>
      </c>
      <c r="L233" s="13">
        <f>IF(AND($A233&lt;&gt;"",$A233=$A232),L232,"")</f>
      </c>
      <c r="M233" s="13">
        <f>IF(AND($A233&lt;&gt;"",$A233=$A232),M232,"")</f>
      </c>
      <c r="N233" s="10">
        <f>IF(H233="","",H233-G233)</f>
      </c>
      <c r="O233" s="11">
        <f>IFERROR(N233/H233,"")</f>
      </c>
      <c r="P233" s="10">
        <f>IF($A233="","",IF(COUNTIF($A$3:$A233,$A233)=1,SUMIF(cobranza!$B$3:$B$1000,$A233,cobranza!$D$3:$D$1000),"↑"))</f>
      </c>
      <c r="Q233" s="10">
        <f>IF($A233="","",IF(COUNTIF($A$3:$A233,$A233)=1,SUMIFS($H$3:$H$1000,$A$3:$A$1000,$A233,$C$3:$C$1000,"&lt;&gt;Demo")-P233,"↑"))</f>
      </c>
      <c r="R233" s="13"/>
    </row>
    <row r="234" customFormat="false" ht="15" hidden="false" customHeight="false" outlineLevel="0" collapsed="false">
      <c r="A234" s="13"/>
      <c r="B234" s="14"/>
      <c r="C234" s="13"/>
      <c r="D234" s="13">
        <f>IF(AND($A234&lt;&gt;"",$A234=$A233),D233,"")</f>
      </c>
      <c r="E234" s="13"/>
      <c r="F234" s="13"/>
      <c r="G234" s="15"/>
      <c r="H234" s="15"/>
      <c r="I234" s="16"/>
      <c r="J234" s="13"/>
      <c r="K234" s="13">
        <f>IF(AND($A234&lt;&gt;"",$A234=$A233),K233,"")</f>
      </c>
      <c r="L234" s="13">
        <f>IF(AND($A234&lt;&gt;"",$A234=$A233),L233,"")</f>
      </c>
      <c r="M234" s="13">
        <f>IF(AND($A234&lt;&gt;"",$A234=$A233),M233,"")</f>
      </c>
      <c r="N234" s="10">
        <f>IF(H234="","",H234-G234)</f>
      </c>
      <c r="O234" s="11">
        <f>IFERROR(N234/H234,"")</f>
      </c>
      <c r="P234" s="10">
        <f>IF($A234="","",IF(COUNTIF($A$3:$A234,$A234)=1,SUMIF(cobranza!$B$3:$B$1000,$A234,cobranza!$D$3:$D$1000),"↑"))</f>
      </c>
      <c r="Q234" s="10">
        <f>IF($A234="","",IF(COUNTIF($A$3:$A234,$A234)=1,SUMIFS($H$3:$H$1000,$A$3:$A$1000,$A234,$C$3:$C$1000,"&lt;&gt;Demo")-P234,"↑"))</f>
      </c>
      <c r="R234" s="13"/>
    </row>
    <row r="235" customFormat="false" ht="15" hidden="false" customHeight="false" outlineLevel="0" collapsed="false">
      <c r="A235" s="13"/>
      <c r="B235" s="14"/>
      <c r="C235" s="13"/>
      <c r="D235" s="13">
        <f>IF(AND($A235&lt;&gt;"",$A235=$A234),D234,"")</f>
      </c>
      <c r="E235" s="13"/>
      <c r="F235" s="13"/>
      <c r="G235" s="15"/>
      <c r="H235" s="15"/>
      <c r="I235" s="16"/>
      <c r="J235" s="13"/>
      <c r="K235" s="13">
        <f>IF(AND($A235&lt;&gt;"",$A235=$A234),K234,"")</f>
      </c>
      <c r="L235" s="13">
        <f>IF(AND($A235&lt;&gt;"",$A235=$A234),L234,"")</f>
      </c>
      <c r="M235" s="13">
        <f>IF(AND($A235&lt;&gt;"",$A235=$A234),M234,"")</f>
      </c>
      <c r="N235" s="10">
        <f>IF(H235="","",H235-G235)</f>
      </c>
      <c r="O235" s="11">
        <f>IFERROR(N235/H235,"")</f>
      </c>
      <c r="P235" s="10">
        <f>IF($A235="","",IF(COUNTIF($A$3:$A235,$A235)=1,SUMIF(cobranza!$B$3:$B$1000,$A235,cobranza!$D$3:$D$1000),"↑"))</f>
      </c>
      <c r="Q235" s="10">
        <f>IF($A235="","",IF(COUNTIF($A$3:$A235,$A235)=1,SUMIFS($H$3:$H$1000,$A$3:$A$1000,$A235,$C$3:$C$1000,"&lt;&gt;Demo")-P235,"↑"))</f>
      </c>
      <c r="R235" s="13"/>
    </row>
    <row r="236" customFormat="false" ht="15" hidden="false" customHeight="false" outlineLevel="0" collapsed="false">
      <c r="A236" s="13"/>
      <c r="B236" s="14"/>
      <c r="C236" s="13"/>
      <c r="D236" s="13">
        <f>IF(AND($A236&lt;&gt;"",$A236=$A235),D235,"")</f>
      </c>
      <c r="E236" s="13"/>
      <c r="F236" s="13"/>
      <c r="G236" s="15"/>
      <c r="H236" s="15"/>
      <c r="I236" s="16"/>
      <c r="J236" s="13"/>
      <c r="K236" s="13">
        <f>IF(AND($A236&lt;&gt;"",$A236=$A235),K235,"")</f>
      </c>
      <c r="L236" s="13">
        <f>IF(AND($A236&lt;&gt;"",$A236=$A235),L235,"")</f>
      </c>
      <c r="M236" s="13">
        <f>IF(AND($A236&lt;&gt;"",$A236=$A235),M235,"")</f>
      </c>
      <c r="N236" s="10">
        <f>IF(H236="","",H236-G236)</f>
      </c>
      <c r="O236" s="11">
        <f>IFERROR(N236/H236,"")</f>
      </c>
      <c r="P236" s="10">
        <f>IF($A236="","",IF(COUNTIF($A$3:$A236,$A236)=1,SUMIF(cobranza!$B$3:$B$1000,$A236,cobranza!$D$3:$D$1000),"↑"))</f>
      </c>
      <c r="Q236" s="10">
        <f>IF($A236="","",IF(COUNTIF($A$3:$A236,$A236)=1,SUMIFS($H$3:$H$1000,$A$3:$A$1000,$A236,$C$3:$C$1000,"&lt;&gt;Demo")-P236,"↑"))</f>
      </c>
      <c r="R236" s="13"/>
    </row>
    <row r="237" customFormat="false" ht="15" hidden="false" customHeight="false" outlineLevel="0" collapsed="false">
      <c r="A237" s="13"/>
      <c r="B237" s="14"/>
      <c r="C237" s="13"/>
      <c r="D237" s="13">
        <f>IF(AND($A237&lt;&gt;"",$A237=$A236),D236,"")</f>
      </c>
      <c r="E237" s="13"/>
      <c r="F237" s="13"/>
      <c r="G237" s="15"/>
      <c r="H237" s="15"/>
      <c r="I237" s="16"/>
      <c r="J237" s="13"/>
      <c r="K237" s="13">
        <f>IF(AND($A237&lt;&gt;"",$A237=$A236),K236,"")</f>
      </c>
      <c r="L237" s="13">
        <f>IF(AND($A237&lt;&gt;"",$A237=$A236),L236,"")</f>
      </c>
      <c r="M237" s="13">
        <f>IF(AND($A237&lt;&gt;"",$A237=$A236),M236,"")</f>
      </c>
      <c r="N237" s="10">
        <f>IF(H237="","",H237-G237)</f>
      </c>
      <c r="O237" s="11">
        <f>IFERROR(N237/H237,"")</f>
      </c>
      <c r="P237" s="10">
        <f>IF($A237="","",IF(COUNTIF($A$3:$A237,$A237)=1,SUMIF(cobranza!$B$3:$B$1000,$A237,cobranza!$D$3:$D$1000),"↑"))</f>
      </c>
      <c r="Q237" s="10">
        <f>IF($A237="","",IF(COUNTIF($A$3:$A237,$A237)=1,SUMIFS($H$3:$H$1000,$A$3:$A$1000,$A237,$C$3:$C$1000,"&lt;&gt;Demo")-P237,"↑"))</f>
      </c>
      <c r="R237" s="13"/>
    </row>
    <row r="238" customFormat="false" ht="15" hidden="false" customHeight="false" outlineLevel="0" collapsed="false">
      <c r="A238" s="13"/>
      <c r="B238" s="14"/>
      <c r="C238" s="13"/>
      <c r="D238" s="13">
        <f>IF(AND($A238&lt;&gt;"",$A238=$A237),D237,"")</f>
      </c>
      <c r="E238" s="13"/>
      <c r="F238" s="13"/>
      <c r="G238" s="15"/>
      <c r="H238" s="15"/>
      <c r="I238" s="16"/>
      <c r="J238" s="13"/>
      <c r="K238" s="13">
        <f>IF(AND($A238&lt;&gt;"",$A238=$A237),K237,"")</f>
      </c>
      <c r="L238" s="13">
        <f>IF(AND($A238&lt;&gt;"",$A238=$A237),L237,"")</f>
      </c>
      <c r="M238" s="13">
        <f>IF(AND($A238&lt;&gt;"",$A238=$A237),M237,"")</f>
      </c>
      <c r="N238" s="10">
        <f>IF(H238="","",H238-G238)</f>
      </c>
      <c r="O238" s="11">
        <f>IFERROR(N238/H238,"")</f>
      </c>
      <c r="P238" s="10">
        <f>IF($A238="","",IF(COUNTIF($A$3:$A238,$A238)=1,SUMIF(cobranza!$B$3:$B$1000,$A238,cobranza!$D$3:$D$1000),"↑"))</f>
      </c>
      <c r="Q238" s="10">
        <f>IF($A238="","",IF(COUNTIF($A$3:$A238,$A238)=1,SUMIFS($H$3:$H$1000,$A$3:$A$1000,$A238,$C$3:$C$1000,"&lt;&gt;Demo")-P238,"↑"))</f>
      </c>
      <c r="R238" s="13"/>
    </row>
    <row r="239" customFormat="false" ht="15" hidden="false" customHeight="false" outlineLevel="0" collapsed="false">
      <c r="A239" s="13"/>
      <c r="B239" s="14"/>
      <c r="C239" s="13"/>
      <c r="D239" s="13">
        <f>IF(AND($A239&lt;&gt;"",$A239=$A238),D238,"")</f>
      </c>
      <c r="E239" s="13"/>
      <c r="F239" s="13"/>
      <c r="G239" s="15"/>
      <c r="H239" s="15"/>
      <c r="I239" s="16"/>
      <c r="J239" s="13"/>
      <c r="K239" s="13">
        <f>IF(AND($A239&lt;&gt;"",$A239=$A238),K238,"")</f>
      </c>
      <c r="L239" s="13">
        <f>IF(AND($A239&lt;&gt;"",$A239=$A238),L238,"")</f>
      </c>
      <c r="M239" s="13">
        <f>IF(AND($A239&lt;&gt;"",$A239=$A238),M238,"")</f>
      </c>
      <c r="N239" s="10">
        <f>IF(H239="","",H239-G239)</f>
      </c>
      <c r="O239" s="11">
        <f>IFERROR(N239/H239,"")</f>
      </c>
      <c r="P239" s="10">
        <f>IF($A239="","",IF(COUNTIF($A$3:$A239,$A239)=1,SUMIF(cobranza!$B$3:$B$1000,$A239,cobranza!$D$3:$D$1000),"↑"))</f>
      </c>
      <c r="Q239" s="10">
        <f>IF($A239="","",IF(COUNTIF($A$3:$A239,$A239)=1,SUMIFS($H$3:$H$1000,$A$3:$A$1000,$A239,$C$3:$C$1000,"&lt;&gt;Demo")-P239,"↑"))</f>
      </c>
      <c r="R239" s="13"/>
    </row>
    <row r="240" customFormat="false" ht="15" hidden="false" customHeight="false" outlineLevel="0" collapsed="false">
      <c r="A240" s="13"/>
      <c r="B240" s="14"/>
      <c r="C240" s="13"/>
      <c r="D240" s="13">
        <f>IF(AND($A240&lt;&gt;"",$A240=$A239),D239,"")</f>
      </c>
      <c r="E240" s="13"/>
      <c r="F240" s="13"/>
      <c r="G240" s="15"/>
      <c r="H240" s="15"/>
      <c r="I240" s="16"/>
      <c r="J240" s="13"/>
      <c r="K240" s="13">
        <f>IF(AND($A240&lt;&gt;"",$A240=$A239),K239,"")</f>
      </c>
      <c r="L240" s="13">
        <f>IF(AND($A240&lt;&gt;"",$A240=$A239),L239,"")</f>
      </c>
      <c r="M240" s="13">
        <f>IF(AND($A240&lt;&gt;"",$A240=$A239),M239,"")</f>
      </c>
      <c r="N240" s="10">
        <f>IF(H240="","",H240-G240)</f>
      </c>
      <c r="O240" s="11">
        <f>IFERROR(N240/H240,"")</f>
      </c>
      <c r="P240" s="10">
        <f>IF($A240="","",IF(COUNTIF($A$3:$A240,$A240)=1,SUMIF(cobranza!$B$3:$B$1000,$A240,cobranza!$D$3:$D$1000),"↑"))</f>
      </c>
      <c r="Q240" s="10">
        <f>IF($A240="","",IF(COUNTIF($A$3:$A240,$A240)=1,SUMIFS($H$3:$H$1000,$A$3:$A$1000,$A240,$C$3:$C$1000,"&lt;&gt;Demo")-P240,"↑"))</f>
      </c>
      <c r="R240" s="13"/>
    </row>
    <row r="241" customFormat="false" ht="15" hidden="false" customHeight="false" outlineLevel="0" collapsed="false">
      <c r="A241" s="13"/>
      <c r="B241" s="14"/>
      <c r="C241" s="13"/>
      <c r="D241" s="13">
        <f>IF(AND($A241&lt;&gt;"",$A241=$A240),D240,"")</f>
      </c>
      <c r="E241" s="13"/>
      <c r="F241" s="13"/>
      <c r="G241" s="15"/>
      <c r="H241" s="15"/>
      <c r="I241" s="16"/>
      <c r="J241" s="13"/>
      <c r="K241" s="13">
        <f>IF(AND($A241&lt;&gt;"",$A241=$A240),K240,"")</f>
      </c>
      <c r="L241" s="13">
        <f>IF(AND($A241&lt;&gt;"",$A241=$A240),L240,"")</f>
      </c>
      <c r="M241" s="13">
        <f>IF(AND($A241&lt;&gt;"",$A241=$A240),M240,"")</f>
      </c>
      <c r="N241" s="10">
        <f>IF(H241="","",H241-G241)</f>
      </c>
      <c r="O241" s="11">
        <f>IFERROR(N241/H241,"")</f>
      </c>
      <c r="P241" s="10">
        <f>IF($A241="","",IF(COUNTIF($A$3:$A241,$A241)=1,SUMIF(cobranza!$B$3:$B$1000,$A241,cobranza!$D$3:$D$1000),"↑"))</f>
      </c>
      <c r="Q241" s="10">
        <f>IF($A241="","",IF(COUNTIF($A$3:$A241,$A241)=1,SUMIFS($H$3:$H$1000,$A$3:$A$1000,$A241,$C$3:$C$1000,"&lt;&gt;Demo")-P241,"↑"))</f>
      </c>
      <c r="R241" s="13"/>
    </row>
    <row r="242" customFormat="false" ht="15" hidden="false" customHeight="false" outlineLevel="0" collapsed="false">
      <c r="A242" s="13"/>
      <c r="B242" s="14"/>
      <c r="C242" s="13"/>
      <c r="D242" s="13">
        <f>IF(AND($A242&lt;&gt;"",$A242=$A241),D241,"")</f>
      </c>
      <c r="E242" s="13"/>
      <c r="F242" s="13"/>
      <c r="G242" s="15"/>
      <c r="H242" s="15"/>
      <c r="I242" s="16"/>
      <c r="J242" s="13"/>
      <c r="K242" s="13">
        <f>IF(AND($A242&lt;&gt;"",$A242=$A241),K241,"")</f>
      </c>
      <c r="L242" s="13">
        <f>IF(AND($A242&lt;&gt;"",$A242=$A241),L241,"")</f>
      </c>
      <c r="M242" s="13">
        <f>IF(AND($A242&lt;&gt;"",$A242=$A241),M241,"")</f>
      </c>
      <c r="N242" s="10">
        <f>IF(H242="","",H242-G242)</f>
      </c>
      <c r="O242" s="11">
        <f>IFERROR(N242/H242,"")</f>
      </c>
      <c r="P242" s="10">
        <f>IF($A242="","",IF(COUNTIF($A$3:$A242,$A242)=1,SUMIF(cobranza!$B$3:$B$1000,$A242,cobranza!$D$3:$D$1000),"↑"))</f>
      </c>
      <c r="Q242" s="10">
        <f>IF($A242="","",IF(COUNTIF($A$3:$A242,$A242)=1,SUMIFS($H$3:$H$1000,$A$3:$A$1000,$A242,$C$3:$C$1000,"&lt;&gt;Demo")-P242,"↑"))</f>
      </c>
      <c r="R242" s="13"/>
    </row>
    <row r="243" customFormat="false" ht="15" hidden="false" customHeight="false" outlineLevel="0" collapsed="false">
      <c r="A243" s="13"/>
      <c r="B243" s="14"/>
      <c r="C243" s="13"/>
      <c r="D243" s="13">
        <f>IF(AND($A243&lt;&gt;"",$A243=$A242),D242,"")</f>
      </c>
      <c r="E243" s="13"/>
      <c r="F243" s="13"/>
      <c r="G243" s="15"/>
      <c r="H243" s="15"/>
      <c r="I243" s="16"/>
      <c r="J243" s="13"/>
      <c r="K243" s="13">
        <f>IF(AND($A243&lt;&gt;"",$A243=$A242),K242,"")</f>
      </c>
      <c r="L243" s="13">
        <f>IF(AND($A243&lt;&gt;"",$A243=$A242),L242,"")</f>
      </c>
      <c r="M243" s="13">
        <f>IF(AND($A243&lt;&gt;"",$A243=$A242),M242,"")</f>
      </c>
      <c r="N243" s="10">
        <f>IF(H243="","",H243-G243)</f>
      </c>
      <c r="O243" s="11">
        <f>IFERROR(N243/H243,"")</f>
      </c>
      <c r="P243" s="10">
        <f>IF($A243="","",IF(COUNTIF($A$3:$A243,$A243)=1,SUMIF(cobranza!$B$3:$B$1000,$A243,cobranza!$D$3:$D$1000),"↑"))</f>
      </c>
      <c r="Q243" s="10">
        <f>IF($A243="","",IF(COUNTIF($A$3:$A243,$A243)=1,SUMIFS($H$3:$H$1000,$A$3:$A$1000,$A243,$C$3:$C$1000,"&lt;&gt;Demo")-P243,"↑"))</f>
      </c>
      <c r="R243" s="13"/>
    </row>
    <row r="244" customFormat="false" ht="15" hidden="false" customHeight="false" outlineLevel="0" collapsed="false">
      <c r="A244" s="13"/>
      <c r="B244" s="14"/>
      <c r="C244" s="13"/>
      <c r="D244" s="13">
        <f>IF(AND($A244&lt;&gt;"",$A244=$A243),D243,"")</f>
      </c>
      <c r="E244" s="13"/>
      <c r="F244" s="13"/>
      <c r="G244" s="15"/>
      <c r="H244" s="15"/>
      <c r="I244" s="16"/>
      <c r="J244" s="13"/>
      <c r="K244" s="13">
        <f>IF(AND($A244&lt;&gt;"",$A244=$A243),K243,"")</f>
      </c>
      <c r="L244" s="13">
        <f>IF(AND($A244&lt;&gt;"",$A244=$A243),L243,"")</f>
      </c>
      <c r="M244" s="13">
        <f>IF(AND($A244&lt;&gt;"",$A244=$A243),M243,"")</f>
      </c>
      <c r="N244" s="10">
        <f>IF(H244="","",H244-G244)</f>
      </c>
      <c r="O244" s="11">
        <f>IFERROR(N244/H244,"")</f>
      </c>
      <c r="P244" s="10">
        <f>IF($A244="","",IF(COUNTIF($A$3:$A244,$A244)=1,SUMIF(cobranza!$B$3:$B$1000,$A244,cobranza!$D$3:$D$1000),"↑"))</f>
      </c>
      <c r="Q244" s="10">
        <f>IF($A244="","",IF(COUNTIF($A$3:$A244,$A244)=1,SUMIFS($H$3:$H$1000,$A$3:$A$1000,$A244,$C$3:$C$1000,"&lt;&gt;Demo")-P244,"↑"))</f>
      </c>
      <c r="R244" s="13"/>
    </row>
    <row r="245" customFormat="false" ht="15" hidden="false" customHeight="false" outlineLevel="0" collapsed="false">
      <c r="A245" s="13"/>
      <c r="B245" s="14"/>
      <c r="C245" s="13"/>
      <c r="D245" s="13">
        <f>IF(AND($A245&lt;&gt;"",$A245=$A244),D244,"")</f>
      </c>
      <c r="E245" s="13"/>
      <c r="F245" s="13"/>
      <c r="G245" s="15"/>
      <c r="H245" s="15"/>
      <c r="I245" s="16"/>
      <c r="J245" s="13"/>
      <c r="K245" s="13">
        <f>IF(AND($A245&lt;&gt;"",$A245=$A244),K244,"")</f>
      </c>
      <c r="L245" s="13">
        <f>IF(AND($A245&lt;&gt;"",$A245=$A244),L244,"")</f>
      </c>
      <c r="M245" s="13">
        <f>IF(AND($A245&lt;&gt;"",$A245=$A244),M244,"")</f>
      </c>
      <c r="N245" s="10">
        <f>IF(H245="","",H245-G245)</f>
      </c>
      <c r="O245" s="11">
        <f>IFERROR(N245/H245,"")</f>
      </c>
      <c r="P245" s="10">
        <f>IF($A245="","",IF(COUNTIF($A$3:$A245,$A245)=1,SUMIF(cobranza!$B$3:$B$1000,$A245,cobranza!$D$3:$D$1000),"↑"))</f>
      </c>
      <c r="Q245" s="10">
        <f>IF($A245="","",IF(COUNTIF($A$3:$A245,$A245)=1,SUMIFS($H$3:$H$1000,$A$3:$A$1000,$A245,$C$3:$C$1000,"&lt;&gt;Demo")-P245,"↑"))</f>
      </c>
      <c r="R245" s="13"/>
    </row>
    <row r="246" customFormat="false" ht="15" hidden="false" customHeight="false" outlineLevel="0" collapsed="false">
      <c r="A246" s="13"/>
      <c r="B246" s="14"/>
      <c r="C246" s="13"/>
      <c r="D246" s="13">
        <f>IF(AND($A246&lt;&gt;"",$A246=$A245),D245,"")</f>
      </c>
      <c r="E246" s="13"/>
      <c r="F246" s="13"/>
      <c r="G246" s="15"/>
      <c r="H246" s="15"/>
      <c r="I246" s="16"/>
      <c r="J246" s="13"/>
      <c r="K246" s="13">
        <f>IF(AND($A246&lt;&gt;"",$A246=$A245),K245,"")</f>
      </c>
      <c r="L246" s="13">
        <f>IF(AND($A246&lt;&gt;"",$A246=$A245),L245,"")</f>
      </c>
      <c r="M246" s="13">
        <f>IF(AND($A246&lt;&gt;"",$A246=$A245),M245,"")</f>
      </c>
      <c r="N246" s="10">
        <f>IF(H246="","",H246-G246)</f>
      </c>
      <c r="O246" s="11">
        <f>IFERROR(N246/H246,"")</f>
      </c>
      <c r="P246" s="10">
        <f>IF($A246="","",IF(COUNTIF($A$3:$A246,$A246)=1,SUMIF(cobranza!$B$3:$B$1000,$A246,cobranza!$D$3:$D$1000),"↑"))</f>
      </c>
      <c r="Q246" s="10">
        <f>IF($A246="","",IF(COUNTIF($A$3:$A246,$A246)=1,SUMIFS($H$3:$H$1000,$A$3:$A$1000,$A246,$C$3:$C$1000,"&lt;&gt;Demo")-P246,"↑"))</f>
      </c>
      <c r="R246" s="13"/>
    </row>
    <row r="247" customFormat="false" ht="15" hidden="false" customHeight="false" outlineLevel="0" collapsed="false">
      <c r="A247" s="13"/>
      <c r="B247" s="14"/>
      <c r="C247" s="13"/>
      <c r="D247" s="13">
        <f>IF(AND($A247&lt;&gt;"",$A247=$A246),D246,"")</f>
      </c>
      <c r="E247" s="13"/>
      <c r="F247" s="13"/>
      <c r="G247" s="15"/>
      <c r="H247" s="15"/>
      <c r="I247" s="16"/>
      <c r="J247" s="13"/>
      <c r="K247" s="13">
        <f>IF(AND($A247&lt;&gt;"",$A247=$A246),K246,"")</f>
      </c>
      <c r="L247" s="13">
        <f>IF(AND($A247&lt;&gt;"",$A247=$A246),L246,"")</f>
      </c>
      <c r="M247" s="13">
        <f>IF(AND($A247&lt;&gt;"",$A247=$A246),M246,"")</f>
      </c>
      <c r="N247" s="10">
        <f>IF(H247="","",H247-G247)</f>
      </c>
      <c r="O247" s="11">
        <f>IFERROR(N247/H247,"")</f>
      </c>
      <c r="P247" s="10">
        <f>IF($A247="","",IF(COUNTIF($A$3:$A247,$A247)=1,SUMIF(cobranza!$B$3:$B$1000,$A247,cobranza!$D$3:$D$1000),"↑"))</f>
      </c>
      <c r="Q247" s="10">
        <f>IF($A247="","",IF(COUNTIF($A$3:$A247,$A247)=1,SUMIFS($H$3:$H$1000,$A$3:$A$1000,$A247,$C$3:$C$1000,"&lt;&gt;Demo")-P247,"↑"))</f>
      </c>
      <c r="R247" s="13"/>
    </row>
    <row r="248" customFormat="false" ht="15" hidden="false" customHeight="false" outlineLevel="0" collapsed="false">
      <c r="A248" s="13"/>
      <c r="B248" s="14"/>
      <c r="C248" s="13"/>
      <c r="D248" s="13">
        <f>IF(AND($A248&lt;&gt;"",$A248=$A247),D247,"")</f>
      </c>
      <c r="E248" s="13"/>
      <c r="F248" s="13"/>
      <c r="G248" s="15"/>
      <c r="H248" s="15"/>
      <c r="I248" s="16"/>
      <c r="J248" s="13"/>
      <c r="K248" s="13">
        <f>IF(AND($A248&lt;&gt;"",$A248=$A247),K247,"")</f>
      </c>
      <c r="L248" s="13">
        <f>IF(AND($A248&lt;&gt;"",$A248=$A247),L247,"")</f>
      </c>
      <c r="M248" s="13">
        <f>IF(AND($A248&lt;&gt;"",$A248=$A247),M247,"")</f>
      </c>
      <c r="N248" s="10">
        <f>IF(H248="","",H248-G248)</f>
      </c>
      <c r="O248" s="11">
        <f>IFERROR(N248/H248,"")</f>
      </c>
      <c r="P248" s="10">
        <f>IF($A248="","",IF(COUNTIF($A$3:$A248,$A248)=1,SUMIF(cobranza!$B$3:$B$1000,$A248,cobranza!$D$3:$D$1000),"↑"))</f>
      </c>
      <c r="Q248" s="10">
        <f>IF($A248="","",IF(COUNTIF($A$3:$A248,$A248)=1,SUMIFS($H$3:$H$1000,$A$3:$A$1000,$A248,$C$3:$C$1000,"&lt;&gt;Demo")-P248,"↑"))</f>
      </c>
      <c r="R248" s="13"/>
    </row>
    <row r="249" customFormat="false" ht="15" hidden="false" customHeight="false" outlineLevel="0" collapsed="false">
      <c r="A249" s="13"/>
      <c r="B249" s="14"/>
      <c r="C249" s="13"/>
      <c r="D249" s="13">
        <f>IF(AND($A249&lt;&gt;"",$A249=$A248),D248,"")</f>
      </c>
      <c r="E249" s="13"/>
      <c r="F249" s="13"/>
      <c r="G249" s="15"/>
      <c r="H249" s="15"/>
      <c r="I249" s="16"/>
      <c r="J249" s="13"/>
      <c r="K249" s="13">
        <f>IF(AND($A249&lt;&gt;"",$A249=$A248),K248,"")</f>
      </c>
      <c r="L249" s="13">
        <f>IF(AND($A249&lt;&gt;"",$A249=$A248),L248,"")</f>
      </c>
      <c r="M249" s="13">
        <f>IF(AND($A249&lt;&gt;"",$A249=$A248),M248,"")</f>
      </c>
      <c r="N249" s="10">
        <f>IF(H249="","",H249-G249)</f>
      </c>
      <c r="O249" s="11">
        <f>IFERROR(N249/H249,"")</f>
      </c>
      <c r="P249" s="10">
        <f>IF($A249="","",IF(COUNTIF($A$3:$A249,$A249)=1,SUMIF(cobranza!$B$3:$B$1000,$A249,cobranza!$D$3:$D$1000),"↑"))</f>
      </c>
      <c r="Q249" s="10">
        <f>IF($A249="","",IF(COUNTIF($A$3:$A249,$A249)=1,SUMIFS($H$3:$H$1000,$A$3:$A$1000,$A249,$C$3:$C$1000,"&lt;&gt;Demo")-P249,"↑"))</f>
      </c>
      <c r="R249" s="13"/>
    </row>
    <row r="250" customFormat="false" ht="15" hidden="false" customHeight="false" outlineLevel="0" collapsed="false">
      <c r="A250" s="13"/>
      <c r="B250" s="14"/>
      <c r="C250" s="13"/>
      <c r="D250" s="13">
        <f>IF(AND($A250&lt;&gt;"",$A250=$A249),D249,"")</f>
      </c>
      <c r="E250" s="13"/>
      <c r="F250" s="13"/>
      <c r="G250" s="15"/>
      <c r="H250" s="15"/>
      <c r="I250" s="16"/>
      <c r="J250" s="13"/>
      <c r="K250" s="13">
        <f>IF(AND($A250&lt;&gt;"",$A250=$A249),K249,"")</f>
      </c>
      <c r="L250" s="13">
        <f>IF(AND($A250&lt;&gt;"",$A250=$A249),L249,"")</f>
      </c>
      <c r="M250" s="13">
        <f>IF(AND($A250&lt;&gt;"",$A250=$A249),M249,"")</f>
      </c>
      <c r="N250" s="10">
        <f>IF(H250="","",H250-G250)</f>
      </c>
      <c r="O250" s="11">
        <f>IFERROR(N250/H250,"")</f>
      </c>
      <c r="P250" s="10">
        <f>IF($A250="","",IF(COUNTIF($A$3:$A250,$A250)=1,SUMIF(cobranza!$B$3:$B$1000,$A250,cobranza!$D$3:$D$1000),"↑"))</f>
      </c>
      <c r="Q250" s="10">
        <f>IF($A250="","",IF(COUNTIF($A$3:$A250,$A250)=1,SUMIFS($H$3:$H$1000,$A$3:$A$1000,$A250,$C$3:$C$1000,"&lt;&gt;Demo")-P250,"↑"))</f>
      </c>
      <c r="R250" s="13"/>
    </row>
    <row r="251" customFormat="false" ht="15" hidden="false" customHeight="false" outlineLevel="0" collapsed="false">
      <c r="A251" s="13"/>
      <c r="B251" s="14"/>
      <c r="C251" s="13"/>
      <c r="D251" s="13">
        <f>IF(AND($A251&lt;&gt;"",$A251=$A250),D250,"")</f>
      </c>
      <c r="E251" s="13"/>
      <c r="F251" s="13"/>
      <c r="G251" s="15"/>
      <c r="H251" s="15"/>
      <c r="I251" s="16"/>
      <c r="J251" s="13"/>
      <c r="K251" s="13">
        <f>IF(AND($A251&lt;&gt;"",$A251=$A250),K250,"")</f>
      </c>
      <c r="L251" s="13">
        <f>IF(AND($A251&lt;&gt;"",$A251=$A250),L250,"")</f>
      </c>
      <c r="M251" s="13">
        <f>IF(AND($A251&lt;&gt;"",$A251=$A250),M250,"")</f>
      </c>
      <c r="N251" s="10">
        <f>IF(H251="","",H251-G251)</f>
      </c>
      <c r="O251" s="11">
        <f>IFERROR(N251/H251,"")</f>
      </c>
      <c r="P251" s="10">
        <f>IF($A251="","",IF(COUNTIF($A$3:$A251,$A251)=1,SUMIF(cobranza!$B$3:$B$1000,$A251,cobranza!$D$3:$D$1000),"↑"))</f>
      </c>
      <c r="Q251" s="10">
        <f>IF($A251="","",IF(COUNTIF($A$3:$A251,$A251)=1,SUMIFS($H$3:$H$1000,$A$3:$A$1000,$A251,$C$3:$C$1000,"&lt;&gt;Demo")-P251,"↑"))</f>
      </c>
      <c r="R251" s="13"/>
    </row>
    <row r="252" customFormat="false" ht="15" hidden="false" customHeight="false" outlineLevel="0" collapsed="false">
      <c r="A252" s="13"/>
      <c r="B252" s="14"/>
      <c r="C252" s="13"/>
      <c r="D252" s="13">
        <f>IF(AND($A252&lt;&gt;"",$A252=$A251),D251,"")</f>
      </c>
      <c r="E252" s="13"/>
      <c r="F252" s="13"/>
      <c r="G252" s="15"/>
      <c r="H252" s="15"/>
      <c r="I252" s="16"/>
      <c r="J252" s="13"/>
      <c r="K252" s="13">
        <f>IF(AND($A252&lt;&gt;"",$A252=$A251),K251,"")</f>
      </c>
      <c r="L252" s="13">
        <f>IF(AND($A252&lt;&gt;"",$A252=$A251),L251,"")</f>
      </c>
      <c r="M252" s="13">
        <f>IF(AND($A252&lt;&gt;"",$A252=$A251),M251,"")</f>
      </c>
      <c r="N252" s="10">
        <f>IF(H252="","",H252-G252)</f>
      </c>
      <c r="O252" s="11">
        <f>IFERROR(N252/H252,"")</f>
      </c>
      <c r="P252" s="10">
        <f>IF($A252="","",IF(COUNTIF($A$3:$A252,$A252)=1,SUMIF(cobranza!$B$3:$B$1000,$A252,cobranza!$D$3:$D$1000),"↑"))</f>
      </c>
      <c r="Q252" s="10">
        <f>IF($A252="","",IF(COUNTIF($A$3:$A252,$A252)=1,SUMIFS($H$3:$H$1000,$A$3:$A$1000,$A252,$C$3:$C$1000,"&lt;&gt;Demo")-P252,"↑"))</f>
      </c>
      <c r="R252" s="13"/>
    </row>
    <row r="253" customFormat="false" ht="15" hidden="false" customHeight="false" outlineLevel="0" collapsed="false">
      <c r="A253" s="13"/>
      <c r="B253" s="14"/>
      <c r="C253" s="13"/>
      <c r="D253" s="13">
        <f>IF(AND($A253&lt;&gt;"",$A253=$A252),D252,"")</f>
      </c>
      <c r="E253" s="13"/>
      <c r="F253" s="13"/>
      <c r="G253" s="15"/>
      <c r="H253" s="15"/>
      <c r="I253" s="16"/>
      <c r="J253" s="13"/>
      <c r="K253" s="13">
        <f>IF(AND($A253&lt;&gt;"",$A253=$A252),K252,"")</f>
      </c>
      <c r="L253" s="13">
        <f>IF(AND($A253&lt;&gt;"",$A253=$A252),L252,"")</f>
      </c>
      <c r="M253" s="13">
        <f>IF(AND($A253&lt;&gt;"",$A253=$A252),M252,"")</f>
      </c>
      <c r="N253" s="10">
        <f>IF(H253="","",H253-G253)</f>
      </c>
      <c r="O253" s="11">
        <f>IFERROR(N253/H253,"")</f>
      </c>
      <c r="P253" s="10">
        <f>IF($A253="","",IF(COUNTIF($A$3:$A253,$A253)=1,SUMIF(cobranza!$B$3:$B$1000,$A253,cobranza!$D$3:$D$1000),"↑"))</f>
      </c>
      <c r="Q253" s="10">
        <f>IF($A253="","",IF(COUNTIF($A$3:$A253,$A253)=1,SUMIFS($H$3:$H$1000,$A$3:$A$1000,$A253,$C$3:$C$1000,"&lt;&gt;Demo")-P253,"↑"))</f>
      </c>
      <c r="R253" s="13"/>
    </row>
    <row r="254" customFormat="false" ht="15" hidden="false" customHeight="false" outlineLevel="0" collapsed="false">
      <c r="A254" s="13"/>
      <c r="B254" s="14"/>
      <c r="C254" s="13"/>
      <c r="D254" s="13">
        <f>IF(AND($A254&lt;&gt;"",$A254=$A253),D253,"")</f>
      </c>
      <c r="E254" s="13"/>
      <c r="F254" s="13"/>
      <c r="G254" s="15"/>
      <c r="H254" s="15"/>
      <c r="I254" s="16"/>
      <c r="J254" s="13"/>
      <c r="K254" s="13">
        <f>IF(AND($A254&lt;&gt;"",$A254=$A253),K253,"")</f>
      </c>
      <c r="L254" s="13">
        <f>IF(AND($A254&lt;&gt;"",$A254=$A253),L253,"")</f>
      </c>
      <c r="M254" s="13">
        <f>IF(AND($A254&lt;&gt;"",$A254=$A253),M253,"")</f>
      </c>
      <c r="N254" s="10">
        <f>IF(H254="","",H254-G254)</f>
      </c>
      <c r="O254" s="11">
        <f>IFERROR(N254/H254,"")</f>
      </c>
      <c r="P254" s="10">
        <f>IF($A254="","",IF(COUNTIF($A$3:$A254,$A254)=1,SUMIF(cobranza!$B$3:$B$1000,$A254,cobranza!$D$3:$D$1000),"↑"))</f>
      </c>
      <c r="Q254" s="10">
        <f>IF($A254="","",IF(COUNTIF($A$3:$A254,$A254)=1,SUMIFS($H$3:$H$1000,$A$3:$A$1000,$A254,$C$3:$C$1000,"&lt;&gt;Demo")-P254,"↑"))</f>
      </c>
      <c r="R254" s="13"/>
    </row>
    <row r="255" customFormat="false" ht="15" hidden="false" customHeight="false" outlineLevel="0" collapsed="false">
      <c r="A255" s="13"/>
      <c r="B255" s="14"/>
      <c r="C255" s="13"/>
      <c r="D255" s="13">
        <f>IF(AND($A255&lt;&gt;"",$A255=$A254),D254,"")</f>
      </c>
      <c r="E255" s="13"/>
      <c r="F255" s="13"/>
      <c r="G255" s="15"/>
      <c r="H255" s="15"/>
      <c r="I255" s="16"/>
      <c r="J255" s="13"/>
      <c r="K255" s="13">
        <f>IF(AND($A255&lt;&gt;"",$A255=$A254),K254,"")</f>
      </c>
      <c r="L255" s="13">
        <f>IF(AND($A255&lt;&gt;"",$A255=$A254),L254,"")</f>
      </c>
      <c r="M255" s="13">
        <f>IF(AND($A255&lt;&gt;"",$A255=$A254),M254,"")</f>
      </c>
      <c r="N255" s="10">
        <f>IF(H255="","",H255-G255)</f>
      </c>
      <c r="O255" s="11">
        <f>IFERROR(N255/H255,"")</f>
      </c>
      <c r="P255" s="10">
        <f>IF($A255="","",IF(COUNTIF($A$3:$A255,$A255)=1,SUMIF(cobranza!$B$3:$B$1000,$A255,cobranza!$D$3:$D$1000),"↑"))</f>
      </c>
      <c r="Q255" s="10">
        <f>IF($A255="","",IF(COUNTIF($A$3:$A255,$A255)=1,SUMIFS($H$3:$H$1000,$A$3:$A$1000,$A255,$C$3:$C$1000,"&lt;&gt;Demo")-P255,"↑"))</f>
      </c>
      <c r="R255" s="13"/>
    </row>
    <row r="256" customFormat="false" ht="15" hidden="false" customHeight="false" outlineLevel="0" collapsed="false">
      <c r="A256" s="13"/>
      <c r="B256" s="14"/>
      <c r="C256" s="13"/>
      <c r="D256" s="13">
        <f>IF(AND($A256&lt;&gt;"",$A256=$A255),D255,"")</f>
      </c>
      <c r="E256" s="13"/>
      <c r="F256" s="13"/>
      <c r="G256" s="15"/>
      <c r="H256" s="15"/>
      <c r="I256" s="16"/>
      <c r="J256" s="13"/>
      <c r="K256" s="13">
        <f>IF(AND($A256&lt;&gt;"",$A256=$A255),K255,"")</f>
      </c>
      <c r="L256" s="13">
        <f>IF(AND($A256&lt;&gt;"",$A256=$A255),L255,"")</f>
      </c>
      <c r="M256" s="13">
        <f>IF(AND($A256&lt;&gt;"",$A256=$A255),M255,"")</f>
      </c>
      <c r="N256" s="10">
        <f>IF(H256="","",H256-G256)</f>
      </c>
      <c r="O256" s="11">
        <f>IFERROR(N256/H256,"")</f>
      </c>
      <c r="P256" s="10">
        <f>IF($A256="","",IF(COUNTIF($A$3:$A256,$A256)=1,SUMIF(cobranza!$B$3:$B$1000,$A256,cobranza!$D$3:$D$1000),"↑"))</f>
      </c>
      <c r="Q256" s="10">
        <f>IF($A256="","",IF(COUNTIF($A$3:$A256,$A256)=1,SUMIFS($H$3:$H$1000,$A$3:$A$1000,$A256,$C$3:$C$1000,"&lt;&gt;Demo")-P256,"↑"))</f>
      </c>
      <c r="R256" s="13"/>
    </row>
    <row r="257" customFormat="false" ht="15" hidden="false" customHeight="false" outlineLevel="0" collapsed="false">
      <c r="A257" s="13"/>
      <c r="B257" s="14"/>
      <c r="C257" s="13"/>
      <c r="D257" s="13">
        <f>IF(AND($A257&lt;&gt;"",$A257=$A256),D256,"")</f>
      </c>
      <c r="E257" s="13"/>
      <c r="F257" s="13"/>
      <c r="G257" s="15"/>
      <c r="H257" s="15"/>
      <c r="I257" s="16"/>
      <c r="J257" s="13"/>
      <c r="K257" s="13">
        <f>IF(AND($A257&lt;&gt;"",$A257=$A256),K256,"")</f>
      </c>
      <c r="L257" s="13">
        <f>IF(AND($A257&lt;&gt;"",$A257=$A256),L256,"")</f>
      </c>
      <c r="M257" s="13">
        <f>IF(AND($A257&lt;&gt;"",$A257=$A256),M256,"")</f>
      </c>
      <c r="N257" s="10">
        <f>IF(H257="","",H257-G257)</f>
      </c>
      <c r="O257" s="11">
        <f>IFERROR(N257/H257,"")</f>
      </c>
      <c r="P257" s="10">
        <f>IF($A257="","",IF(COUNTIF($A$3:$A257,$A257)=1,SUMIF(cobranza!$B$3:$B$1000,$A257,cobranza!$D$3:$D$1000),"↑"))</f>
      </c>
      <c r="Q257" s="10">
        <f>IF($A257="","",IF(COUNTIF($A$3:$A257,$A257)=1,SUMIFS($H$3:$H$1000,$A$3:$A$1000,$A257,$C$3:$C$1000,"&lt;&gt;Demo")-P257,"↑"))</f>
      </c>
      <c r="R257" s="13"/>
    </row>
    <row r="258" customFormat="false" ht="15" hidden="false" customHeight="false" outlineLevel="0" collapsed="false">
      <c r="A258" s="13"/>
      <c r="B258" s="14"/>
      <c r="C258" s="13"/>
      <c r="D258" s="13">
        <f>IF(AND($A258&lt;&gt;"",$A258=$A257),D257,"")</f>
      </c>
      <c r="E258" s="13"/>
      <c r="F258" s="13"/>
      <c r="G258" s="15"/>
      <c r="H258" s="15"/>
      <c r="I258" s="16"/>
      <c r="J258" s="13"/>
      <c r="K258" s="13">
        <f>IF(AND($A258&lt;&gt;"",$A258=$A257),K257,"")</f>
      </c>
      <c r="L258" s="13">
        <f>IF(AND($A258&lt;&gt;"",$A258=$A257),L257,"")</f>
      </c>
      <c r="M258" s="13">
        <f>IF(AND($A258&lt;&gt;"",$A258=$A257),M257,"")</f>
      </c>
      <c r="N258" s="10">
        <f>IF(H258="","",H258-G258)</f>
      </c>
      <c r="O258" s="11">
        <f>IFERROR(N258/H258,"")</f>
      </c>
      <c r="P258" s="10">
        <f>IF($A258="","",IF(COUNTIF($A$3:$A258,$A258)=1,SUMIF(cobranza!$B$3:$B$1000,$A258,cobranza!$D$3:$D$1000),"↑"))</f>
      </c>
      <c r="Q258" s="10">
        <f>IF($A258="","",IF(COUNTIF($A$3:$A258,$A258)=1,SUMIFS($H$3:$H$1000,$A$3:$A$1000,$A258,$C$3:$C$1000,"&lt;&gt;Demo")-P258,"↑"))</f>
      </c>
      <c r="R258" s="13"/>
    </row>
    <row r="259" customFormat="false" ht="15" hidden="false" customHeight="false" outlineLevel="0" collapsed="false">
      <c r="A259" s="13"/>
      <c r="B259" s="14"/>
      <c r="C259" s="13"/>
      <c r="D259" s="13">
        <f>IF(AND($A259&lt;&gt;"",$A259=$A258),D258,"")</f>
      </c>
      <c r="E259" s="13"/>
      <c r="F259" s="13"/>
      <c r="G259" s="15"/>
      <c r="H259" s="15"/>
      <c r="I259" s="16"/>
      <c r="J259" s="13"/>
      <c r="K259" s="13">
        <f>IF(AND($A259&lt;&gt;"",$A259=$A258),K258,"")</f>
      </c>
      <c r="L259" s="13">
        <f>IF(AND($A259&lt;&gt;"",$A259=$A258),L258,"")</f>
      </c>
      <c r="M259" s="13">
        <f>IF(AND($A259&lt;&gt;"",$A259=$A258),M258,"")</f>
      </c>
      <c r="N259" s="10">
        <f>IF(H259="","",H259-G259)</f>
      </c>
      <c r="O259" s="11">
        <f>IFERROR(N259/H259,"")</f>
      </c>
      <c r="P259" s="10">
        <f>IF($A259="","",IF(COUNTIF($A$3:$A259,$A259)=1,SUMIF(cobranza!$B$3:$B$1000,$A259,cobranza!$D$3:$D$1000),"↑"))</f>
      </c>
      <c r="Q259" s="10">
        <f>IF($A259="","",IF(COUNTIF($A$3:$A259,$A259)=1,SUMIFS($H$3:$H$1000,$A$3:$A$1000,$A259,$C$3:$C$1000,"&lt;&gt;Demo")-P259,"↑"))</f>
      </c>
      <c r="R259" s="13"/>
    </row>
    <row r="260" customFormat="false" ht="15" hidden="false" customHeight="false" outlineLevel="0" collapsed="false">
      <c r="A260" s="13"/>
      <c r="B260" s="14"/>
      <c r="C260" s="13"/>
      <c r="D260" s="13">
        <f>IF(AND($A260&lt;&gt;"",$A260=$A259),D259,"")</f>
      </c>
      <c r="E260" s="13"/>
      <c r="F260" s="13"/>
      <c r="G260" s="15"/>
      <c r="H260" s="15"/>
      <c r="I260" s="16"/>
      <c r="J260" s="13"/>
      <c r="K260" s="13">
        <f>IF(AND($A260&lt;&gt;"",$A260=$A259),K259,"")</f>
      </c>
      <c r="L260" s="13">
        <f>IF(AND($A260&lt;&gt;"",$A260=$A259),L259,"")</f>
      </c>
      <c r="M260" s="13">
        <f>IF(AND($A260&lt;&gt;"",$A260=$A259),M259,"")</f>
      </c>
      <c r="N260" s="10">
        <f>IF(H260="","",H260-G260)</f>
      </c>
      <c r="O260" s="11">
        <f>IFERROR(N260/H260,"")</f>
      </c>
      <c r="P260" s="10">
        <f>IF($A260="","",IF(COUNTIF($A$3:$A260,$A260)=1,SUMIF(cobranza!$B$3:$B$1000,$A260,cobranza!$D$3:$D$1000),"↑"))</f>
      </c>
      <c r="Q260" s="10">
        <f>IF($A260="","",IF(COUNTIF($A$3:$A260,$A260)=1,SUMIFS($H$3:$H$1000,$A$3:$A$1000,$A260,$C$3:$C$1000,"&lt;&gt;Demo")-P260,"↑"))</f>
      </c>
      <c r="R260" s="13"/>
    </row>
    <row r="261" customFormat="false" ht="15" hidden="false" customHeight="false" outlineLevel="0" collapsed="false">
      <c r="A261" s="13"/>
      <c r="B261" s="14"/>
      <c r="C261" s="13"/>
      <c r="D261" s="13">
        <f>IF(AND($A261&lt;&gt;"",$A261=$A260),D260,"")</f>
      </c>
      <c r="E261" s="13"/>
      <c r="F261" s="13"/>
      <c r="G261" s="15"/>
      <c r="H261" s="15"/>
      <c r="I261" s="16"/>
      <c r="J261" s="13"/>
      <c r="K261" s="13">
        <f>IF(AND($A261&lt;&gt;"",$A261=$A260),K260,"")</f>
      </c>
      <c r="L261" s="13">
        <f>IF(AND($A261&lt;&gt;"",$A261=$A260),L260,"")</f>
      </c>
      <c r="M261" s="13">
        <f>IF(AND($A261&lt;&gt;"",$A261=$A260),M260,"")</f>
      </c>
      <c r="N261" s="10">
        <f>IF(H261="","",H261-G261)</f>
      </c>
      <c r="O261" s="11">
        <f>IFERROR(N261/H261,"")</f>
      </c>
      <c r="P261" s="10">
        <f>IF($A261="","",IF(COUNTIF($A$3:$A261,$A261)=1,SUMIF(cobranza!$B$3:$B$1000,$A261,cobranza!$D$3:$D$1000),"↑"))</f>
      </c>
      <c r="Q261" s="10">
        <f>IF($A261="","",IF(COUNTIF($A$3:$A261,$A261)=1,SUMIFS($H$3:$H$1000,$A$3:$A$1000,$A261,$C$3:$C$1000,"&lt;&gt;Demo")-P261,"↑"))</f>
      </c>
      <c r="R261" s="13"/>
    </row>
    <row r="262" customFormat="false" ht="15" hidden="false" customHeight="false" outlineLevel="0" collapsed="false">
      <c r="A262" s="13"/>
      <c r="B262" s="14"/>
      <c r="C262" s="13"/>
      <c r="D262" s="13">
        <f>IF(AND($A262&lt;&gt;"",$A262=$A261),D261,"")</f>
      </c>
      <c r="E262" s="13"/>
      <c r="F262" s="13"/>
      <c r="G262" s="15"/>
      <c r="H262" s="15"/>
      <c r="I262" s="16"/>
      <c r="J262" s="13"/>
      <c r="K262" s="13">
        <f>IF(AND($A262&lt;&gt;"",$A262=$A261),K261,"")</f>
      </c>
      <c r="L262" s="13">
        <f>IF(AND($A262&lt;&gt;"",$A262=$A261),L261,"")</f>
      </c>
      <c r="M262" s="13">
        <f>IF(AND($A262&lt;&gt;"",$A262=$A261),M261,"")</f>
      </c>
      <c r="N262" s="10">
        <f>IF(H262="","",H262-G262)</f>
      </c>
      <c r="O262" s="11">
        <f>IFERROR(N262/H262,"")</f>
      </c>
      <c r="P262" s="10">
        <f>IF($A262="","",IF(COUNTIF($A$3:$A262,$A262)=1,SUMIF(cobranza!$B$3:$B$1000,$A262,cobranza!$D$3:$D$1000),"↑"))</f>
      </c>
      <c r="Q262" s="10">
        <f>IF($A262="","",IF(COUNTIF($A$3:$A262,$A262)=1,SUMIFS($H$3:$H$1000,$A$3:$A$1000,$A262,$C$3:$C$1000,"&lt;&gt;Demo")-P262,"↑"))</f>
      </c>
      <c r="R262" s="13"/>
    </row>
    <row r="263" customFormat="false" ht="15" hidden="false" customHeight="false" outlineLevel="0" collapsed="false">
      <c r="A263" s="13"/>
      <c r="B263" s="14"/>
      <c r="C263" s="13"/>
      <c r="D263" s="13">
        <f>IF(AND($A263&lt;&gt;"",$A263=$A262),D262,"")</f>
      </c>
      <c r="E263" s="13"/>
      <c r="F263" s="13"/>
      <c r="G263" s="15"/>
      <c r="H263" s="15"/>
      <c r="I263" s="16"/>
      <c r="J263" s="13"/>
      <c r="K263" s="13">
        <f>IF(AND($A263&lt;&gt;"",$A263=$A262),K262,"")</f>
      </c>
      <c r="L263" s="13">
        <f>IF(AND($A263&lt;&gt;"",$A263=$A262),L262,"")</f>
      </c>
      <c r="M263" s="13">
        <f>IF(AND($A263&lt;&gt;"",$A263=$A262),M262,"")</f>
      </c>
      <c r="N263" s="10">
        <f>IF(H263="","",H263-G263)</f>
      </c>
      <c r="O263" s="11">
        <f>IFERROR(N263/H263,"")</f>
      </c>
      <c r="P263" s="10">
        <f>IF($A263="","",IF(COUNTIF($A$3:$A263,$A263)=1,SUMIF(cobranza!$B$3:$B$1000,$A263,cobranza!$D$3:$D$1000),"↑"))</f>
      </c>
      <c r="Q263" s="10">
        <f>IF($A263="","",IF(COUNTIF($A$3:$A263,$A263)=1,SUMIFS($H$3:$H$1000,$A$3:$A$1000,$A263,$C$3:$C$1000,"&lt;&gt;Demo")-P263,"↑"))</f>
      </c>
      <c r="R263" s="13"/>
    </row>
    <row r="264" customFormat="false" ht="15" hidden="false" customHeight="false" outlineLevel="0" collapsed="false">
      <c r="A264" s="13"/>
      <c r="B264" s="14"/>
      <c r="C264" s="13"/>
      <c r="D264" s="13">
        <f>IF(AND($A264&lt;&gt;"",$A264=$A263),D263,"")</f>
      </c>
      <c r="E264" s="13"/>
      <c r="F264" s="13"/>
      <c r="G264" s="15"/>
      <c r="H264" s="15"/>
      <c r="I264" s="16"/>
      <c r="J264" s="13"/>
      <c r="K264" s="13">
        <f>IF(AND($A264&lt;&gt;"",$A264=$A263),K263,"")</f>
      </c>
      <c r="L264" s="13">
        <f>IF(AND($A264&lt;&gt;"",$A264=$A263),L263,"")</f>
      </c>
      <c r="M264" s="13">
        <f>IF(AND($A264&lt;&gt;"",$A264=$A263),M263,"")</f>
      </c>
      <c r="N264" s="10">
        <f>IF(H264="","",H264-G264)</f>
      </c>
      <c r="O264" s="11">
        <f>IFERROR(N264/H264,"")</f>
      </c>
      <c r="P264" s="10">
        <f>IF($A264="","",IF(COUNTIF($A$3:$A264,$A264)=1,SUMIF(cobranza!$B$3:$B$1000,$A264,cobranza!$D$3:$D$1000),"↑"))</f>
      </c>
      <c r="Q264" s="10">
        <f>IF($A264="","",IF(COUNTIF($A$3:$A264,$A264)=1,SUMIFS($H$3:$H$1000,$A$3:$A$1000,$A264,$C$3:$C$1000,"&lt;&gt;Demo")-P264,"↑"))</f>
      </c>
      <c r="R264" s="13"/>
    </row>
    <row r="265" customFormat="false" ht="15" hidden="false" customHeight="false" outlineLevel="0" collapsed="false">
      <c r="A265" s="13"/>
      <c r="B265" s="14"/>
      <c r="C265" s="13"/>
      <c r="D265" s="13">
        <f>IF(AND($A265&lt;&gt;"",$A265=$A264),D264,"")</f>
      </c>
      <c r="E265" s="13"/>
      <c r="F265" s="13"/>
      <c r="G265" s="15"/>
      <c r="H265" s="15"/>
      <c r="I265" s="16"/>
      <c r="J265" s="13"/>
      <c r="K265" s="13">
        <f>IF(AND($A265&lt;&gt;"",$A265=$A264),K264,"")</f>
      </c>
      <c r="L265" s="13">
        <f>IF(AND($A265&lt;&gt;"",$A265=$A264),L264,"")</f>
      </c>
      <c r="M265" s="13">
        <f>IF(AND($A265&lt;&gt;"",$A265=$A264),M264,"")</f>
      </c>
      <c r="N265" s="10">
        <f>IF(H265="","",H265-G265)</f>
      </c>
      <c r="O265" s="11">
        <f>IFERROR(N265/H265,"")</f>
      </c>
      <c r="P265" s="10">
        <f>IF($A265="","",IF(COUNTIF($A$3:$A265,$A265)=1,SUMIF(cobranza!$B$3:$B$1000,$A265,cobranza!$D$3:$D$1000),"↑"))</f>
      </c>
      <c r="Q265" s="10">
        <f>IF($A265="","",IF(COUNTIF($A$3:$A265,$A265)=1,SUMIFS($H$3:$H$1000,$A$3:$A$1000,$A265,$C$3:$C$1000,"&lt;&gt;Demo")-P265,"↑"))</f>
      </c>
      <c r="R265" s="13"/>
    </row>
    <row r="266" customFormat="false" ht="15" hidden="false" customHeight="false" outlineLevel="0" collapsed="false">
      <c r="A266" s="13"/>
      <c r="B266" s="14"/>
      <c r="C266" s="13"/>
      <c r="D266" s="13">
        <f>IF(AND($A266&lt;&gt;"",$A266=$A265),D265,"")</f>
      </c>
      <c r="E266" s="13"/>
      <c r="F266" s="13"/>
      <c r="G266" s="15"/>
      <c r="H266" s="15"/>
      <c r="I266" s="16"/>
      <c r="J266" s="13"/>
      <c r="K266" s="13">
        <f>IF(AND($A266&lt;&gt;"",$A266=$A265),K265,"")</f>
      </c>
      <c r="L266" s="13">
        <f>IF(AND($A266&lt;&gt;"",$A266=$A265),L265,"")</f>
      </c>
      <c r="M266" s="13">
        <f>IF(AND($A266&lt;&gt;"",$A266=$A265),M265,"")</f>
      </c>
      <c r="N266" s="10">
        <f>IF(H266="","",H266-G266)</f>
      </c>
      <c r="O266" s="11">
        <f>IFERROR(N266/H266,"")</f>
      </c>
      <c r="P266" s="10">
        <f>IF($A266="","",IF(COUNTIF($A$3:$A266,$A266)=1,SUMIF(cobranza!$B$3:$B$1000,$A266,cobranza!$D$3:$D$1000),"↑"))</f>
      </c>
      <c r="Q266" s="10">
        <f>IF($A266="","",IF(COUNTIF($A$3:$A266,$A266)=1,SUMIFS($H$3:$H$1000,$A$3:$A$1000,$A266,$C$3:$C$1000,"&lt;&gt;Demo")-P266,"↑"))</f>
      </c>
      <c r="R266" s="13"/>
    </row>
    <row r="267" customFormat="false" ht="15" hidden="false" customHeight="false" outlineLevel="0" collapsed="false">
      <c r="A267" s="13"/>
      <c r="B267" s="14"/>
      <c r="C267" s="13"/>
      <c r="D267" s="13">
        <f>IF(AND($A267&lt;&gt;"",$A267=$A266),D266,"")</f>
      </c>
      <c r="E267" s="13"/>
      <c r="F267" s="13"/>
      <c r="G267" s="15"/>
      <c r="H267" s="15"/>
      <c r="I267" s="16"/>
      <c r="J267" s="13"/>
      <c r="K267" s="13">
        <f>IF(AND($A267&lt;&gt;"",$A267=$A266),K266,"")</f>
      </c>
      <c r="L267" s="13">
        <f>IF(AND($A267&lt;&gt;"",$A267=$A266),L266,"")</f>
      </c>
      <c r="M267" s="13">
        <f>IF(AND($A267&lt;&gt;"",$A267=$A266),M266,"")</f>
      </c>
      <c r="N267" s="10">
        <f>IF(H267="","",H267-G267)</f>
      </c>
      <c r="O267" s="11">
        <f>IFERROR(N267/H267,"")</f>
      </c>
      <c r="P267" s="10">
        <f>IF($A267="","",IF(COUNTIF($A$3:$A267,$A267)=1,SUMIF(cobranza!$B$3:$B$1000,$A267,cobranza!$D$3:$D$1000),"↑"))</f>
      </c>
      <c r="Q267" s="10">
        <f>IF($A267="","",IF(COUNTIF($A$3:$A267,$A267)=1,SUMIFS($H$3:$H$1000,$A$3:$A$1000,$A267,$C$3:$C$1000,"&lt;&gt;Demo")-P267,"↑"))</f>
      </c>
      <c r="R267" s="13"/>
    </row>
    <row r="268" customFormat="false" ht="15" hidden="false" customHeight="false" outlineLevel="0" collapsed="false">
      <c r="A268" s="13"/>
      <c r="B268" s="14"/>
      <c r="C268" s="13"/>
      <c r="D268" s="13">
        <f>IF(AND($A268&lt;&gt;"",$A268=$A267),D267,"")</f>
      </c>
      <c r="E268" s="13"/>
      <c r="F268" s="13"/>
      <c r="G268" s="15"/>
      <c r="H268" s="15"/>
      <c r="I268" s="16"/>
      <c r="J268" s="13"/>
      <c r="K268" s="13">
        <f>IF(AND($A268&lt;&gt;"",$A268=$A267),K267,"")</f>
      </c>
      <c r="L268" s="13">
        <f>IF(AND($A268&lt;&gt;"",$A268=$A267),L267,"")</f>
      </c>
      <c r="M268" s="13">
        <f>IF(AND($A268&lt;&gt;"",$A268=$A267),M267,"")</f>
      </c>
      <c r="N268" s="10">
        <f>IF(H268="","",H268-G268)</f>
      </c>
      <c r="O268" s="11">
        <f>IFERROR(N268/H268,"")</f>
      </c>
      <c r="P268" s="10">
        <f>IF($A268="","",IF(COUNTIF($A$3:$A268,$A268)=1,SUMIF(cobranza!$B$3:$B$1000,$A268,cobranza!$D$3:$D$1000),"↑"))</f>
      </c>
      <c r="Q268" s="10">
        <f>IF($A268="","",IF(COUNTIF($A$3:$A268,$A268)=1,SUMIFS($H$3:$H$1000,$A$3:$A$1000,$A268,$C$3:$C$1000,"&lt;&gt;Demo")-P268,"↑"))</f>
      </c>
      <c r="R268" s="13"/>
    </row>
    <row r="269" customFormat="false" ht="15" hidden="false" customHeight="false" outlineLevel="0" collapsed="false">
      <c r="A269" s="13"/>
      <c r="B269" s="14"/>
      <c r="C269" s="13"/>
      <c r="D269" s="13">
        <f>IF(AND($A269&lt;&gt;"",$A269=$A268),D268,"")</f>
      </c>
      <c r="E269" s="13"/>
      <c r="F269" s="13"/>
      <c r="G269" s="15"/>
      <c r="H269" s="15"/>
      <c r="I269" s="16"/>
      <c r="J269" s="13"/>
      <c r="K269" s="13">
        <f>IF(AND($A269&lt;&gt;"",$A269=$A268),K268,"")</f>
      </c>
      <c r="L269" s="13">
        <f>IF(AND($A269&lt;&gt;"",$A269=$A268),L268,"")</f>
      </c>
      <c r="M269" s="13">
        <f>IF(AND($A269&lt;&gt;"",$A269=$A268),M268,"")</f>
      </c>
      <c r="N269" s="10">
        <f>IF(H269="","",H269-G269)</f>
      </c>
      <c r="O269" s="11">
        <f>IFERROR(N269/H269,"")</f>
      </c>
      <c r="P269" s="10">
        <f>IF($A269="","",IF(COUNTIF($A$3:$A269,$A269)=1,SUMIF(cobranza!$B$3:$B$1000,$A269,cobranza!$D$3:$D$1000),"↑"))</f>
      </c>
      <c r="Q269" s="10">
        <f>IF($A269="","",IF(COUNTIF($A$3:$A269,$A269)=1,SUMIFS($H$3:$H$1000,$A$3:$A$1000,$A269,$C$3:$C$1000,"&lt;&gt;Demo")-P269,"↑"))</f>
      </c>
      <c r="R269" s="13"/>
    </row>
    <row r="270" customFormat="false" ht="15" hidden="false" customHeight="false" outlineLevel="0" collapsed="false">
      <c r="A270" s="13"/>
      <c r="B270" s="14"/>
      <c r="C270" s="13"/>
      <c r="D270" s="13">
        <f>IF(AND($A270&lt;&gt;"",$A270=$A269),D269,"")</f>
      </c>
      <c r="E270" s="13"/>
      <c r="F270" s="13"/>
      <c r="G270" s="15"/>
      <c r="H270" s="15"/>
      <c r="I270" s="16"/>
      <c r="J270" s="13"/>
      <c r="K270" s="13">
        <f>IF(AND($A270&lt;&gt;"",$A270=$A269),K269,"")</f>
      </c>
      <c r="L270" s="13">
        <f>IF(AND($A270&lt;&gt;"",$A270=$A269),L269,"")</f>
      </c>
      <c r="M270" s="13">
        <f>IF(AND($A270&lt;&gt;"",$A270=$A269),M269,"")</f>
      </c>
      <c r="N270" s="10">
        <f>IF(H270="","",H270-G270)</f>
      </c>
      <c r="O270" s="11">
        <f>IFERROR(N270/H270,"")</f>
      </c>
      <c r="P270" s="10">
        <f>IF($A270="","",IF(COUNTIF($A$3:$A270,$A270)=1,SUMIF(cobranza!$B$3:$B$1000,$A270,cobranza!$D$3:$D$1000),"↑"))</f>
      </c>
      <c r="Q270" s="10">
        <f>IF($A270="","",IF(COUNTIF($A$3:$A270,$A270)=1,SUMIFS($H$3:$H$1000,$A$3:$A$1000,$A270,$C$3:$C$1000,"&lt;&gt;Demo")-P270,"↑"))</f>
      </c>
      <c r="R270" s="13"/>
    </row>
    <row r="271" customFormat="false" ht="15" hidden="false" customHeight="false" outlineLevel="0" collapsed="false">
      <c r="A271" s="13"/>
      <c r="B271" s="14"/>
      <c r="C271" s="13"/>
      <c r="D271" s="13">
        <f>IF(AND($A271&lt;&gt;"",$A271=$A270),D270,"")</f>
      </c>
      <c r="E271" s="13"/>
      <c r="F271" s="13"/>
      <c r="G271" s="15"/>
      <c r="H271" s="15"/>
      <c r="I271" s="16"/>
      <c r="J271" s="13"/>
      <c r="K271" s="13">
        <f>IF(AND($A271&lt;&gt;"",$A271=$A270),K270,"")</f>
      </c>
      <c r="L271" s="13">
        <f>IF(AND($A271&lt;&gt;"",$A271=$A270),L270,"")</f>
      </c>
      <c r="M271" s="13">
        <f>IF(AND($A271&lt;&gt;"",$A271=$A270),M270,"")</f>
      </c>
      <c r="N271" s="10">
        <f>IF(H271="","",H271-G271)</f>
      </c>
      <c r="O271" s="11">
        <f>IFERROR(N271/H271,"")</f>
      </c>
      <c r="P271" s="10">
        <f>IF($A271="","",IF(COUNTIF($A$3:$A271,$A271)=1,SUMIF(cobranza!$B$3:$B$1000,$A271,cobranza!$D$3:$D$1000),"↑"))</f>
      </c>
      <c r="Q271" s="10">
        <f>IF($A271="","",IF(COUNTIF($A$3:$A271,$A271)=1,SUMIFS($H$3:$H$1000,$A$3:$A$1000,$A271,$C$3:$C$1000,"&lt;&gt;Demo")-P271,"↑"))</f>
      </c>
      <c r="R271" s="13"/>
    </row>
    <row r="272" customFormat="false" ht="15" hidden="false" customHeight="false" outlineLevel="0" collapsed="false">
      <c r="A272" s="13"/>
      <c r="B272" s="14"/>
      <c r="C272" s="13"/>
      <c r="D272" s="13">
        <f>IF(AND($A272&lt;&gt;"",$A272=$A271),D271,"")</f>
      </c>
      <c r="E272" s="13"/>
      <c r="F272" s="13"/>
      <c r="G272" s="15"/>
      <c r="H272" s="15"/>
      <c r="I272" s="16"/>
      <c r="J272" s="13"/>
      <c r="K272" s="13">
        <f>IF(AND($A272&lt;&gt;"",$A272=$A271),K271,"")</f>
      </c>
      <c r="L272" s="13">
        <f>IF(AND($A272&lt;&gt;"",$A272=$A271),L271,"")</f>
      </c>
      <c r="M272" s="13">
        <f>IF(AND($A272&lt;&gt;"",$A272=$A271),M271,"")</f>
      </c>
      <c r="N272" s="10">
        <f>IF(H272="","",H272-G272)</f>
      </c>
      <c r="O272" s="11">
        <f>IFERROR(N272/H272,"")</f>
      </c>
      <c r="P272" s="10">
        <f>IF($A272="","",IF(COUNTIF($A$3:$A272,$A272)=1,SUMIF(cobranza!$B$3:$B$1000,$A272,cobranza!$D$3:$D$1000),"↑"))</f>
      </c>
      <c r="Q272" s="10">
        <f>IF($A272="","",IF(COUNTIF($A$3:$A272,$A272)=1,SUMIFS($H$3:$H$1000,$A$3:$A$1000,$A272,$C$3:$C$1000,"&lt;&gt;Demo")-P272,"↑"))</f>
      </c>
      <c r="R272" s="13"/>
    </row>
    <row r="273" customFormat="false" ht="15" hidden="false" customHeight="false" outlineLevel="0" collapsed="false">
      <c r="A273" s="13"/>
      <c r="B273" s="14"/>
      <c r="C273" s="13"/>
      <c r="D273" s="13">
        <f>IF(AND($A273&lt;&gt;"",$A273=$A272),D272,"")</f>
      </c>
      <c r="E273" s="13"/>
      <c r="F273" s="13"/>
      <c r="G273" s="15"/>
      <c r="H273" s="15"/>
      <c r="I273" s="16"/>
      <c r="J273" s="13"/>
      <c r="K273" s="13">
        <f>IF(AND($A273&lt;&gt;"",$A273=$A272),K272,"")</f>
      </c>
      <c r="L273" s="13">
        <f>IF(AND($A273&lt;&gt;"",$A273=$A272),L272,"")</f>
      </c>
      <c r="M273" s="13">
        <f>IF(AND($A273&lt;&gt;"",$A273=$A272),M272,"")</f>
      </c>
      <c r="N273" s="10">
        <f>IF(H273="","",H273-G273)</f>
      </c>
      <c r="O273" s="11">
        <f>IFERROR(N273/H273,"")</f>
      </c>
      <c r="P273" s="10">
        <f>IF($A273="","",IF(COUNTIF($A$3:$A273,$A273)=1,SUMIF(cobranza!$B$3:$B$1000,$A273,cobranza!$D$3:$D$1000),"↑"))</f>
      </c>
      <c r="Q273" s="10">
        <f>IF($A273="","",IF(COUNTIF($A$3:$A273,$A273)=1,SUMIFS($H$3:$H$1000,$A$3:$A$1000,$A273,$C$3:$C$1000,"&lt;&gt;Demo")-P273,"↑"))</f>
      </c>
      <c r="R273" s="13"/>
    </row>
    <row r="274" customFormat="false" ht="15" hidden="false" customHeight="false" outlineLevel="0" collapsed="false">
      <c r="A274" s="13"/>
      <c r="B274" s="14"/>
      <c r="C274" s="13"/>
      <c r="D274" s="13">
        <f>IF(AND($A274&lt;&gt;"",$A274=$A273),D273,"")</f>
      </c>
      <c r="E274" s="13"/>
      <c r="F274" s="13"/>
      <c r="G274" s="15"/>
      <c r="H274" s="15"/>
      <c r="I274" s="16"/>
      <c r="J274" s="13"/>
      <c r="K274" s="13">
        <f>IF(AND($A274&lt;&gt;"",$A274=$A273),K273,"")</f>
      </c>
      <c r="L274" s="13">
        <f>IF(AND($A274&lt;&gt;"",$A274=$A273),L273,"")</f>
      </c>
      <c r="M274" s="13">
        <f>IF(AND($A274&lt;&gt;"",$A274=$A273),M273,"")</f>
      </c>
      <c r="N274" s="10">
        <f>IF(H274="","",H274-G274)</f>
      </c>
      <c r="O274" s="11">
        <f>IFERROR(N274/H274,"")</f>
      </c>
      <c r="P274" s="10">
        <f>IF($A274="","",IF(COUNTIF($A$3:$A274,$A274)=1,SUMIF(cobranza!$B$3:$B$1000,$A274,cobranza!$D$3:$D$1000),"↑"))</f>
      </c>
      <c r="Q274" s="10">
        <f>IF($A274="","",IF(COUNTIF($A$3:$A274,$A274)=1,SUMIFS($H$3:$H$1000,$A$3:$A$1000,$A274,$C$3:$C$1000,"&lt;&gt;Demo")-P274,"↑"))</f>
      </c>
      <c r="R274" s="13"/>
    </row>
    <row r="275" customFormat="false" ht="15" hidden="false" customHeight="false" outlineLevel="0" collapsed="false">
      <c r="A275" s="13"/>
      <c r="B275" s="14"/>
      <c r="C275" s="13"/>
      <c r="D275" s="13">
        <f>IF(AND($A275&lt;&gt;"",$A275=$A274),D274,"")</f>
      </c>
      <c r="E275" s="13"/>
      <c r="F275" s="13"/>
      <c r="G275" s="15"/>
      <c r="H275" s="15"/>
      <c r="I275" s="16"/>
      <c r="J275" s="13"/>
      <c r="K275" s="13">
        <f>IF(AND($A275&lt;&gt;"",$A275=$A274),K274,"")</f>
      </c>
      <c r="L275" s="13">
        <f>IF(AND($A275&lt;&gt;"",$A275=$A274),L274,"")</f>
      </c>
      <c r="M275" s="13">
        <f>IF(AND($A275&lt;&gt;"",$A275=$A274),M274,"")</f>
      </c>
      <c r="N275" s="10">
        <f>IF(H275="","",H275-G275)</f>
      </c>
      <c r="O275" s="11">
        <f>IFERROR(N275/H275,"")</f>
      </c>
      <c r="P275" s="10">
        <f>IF($A275="","",IF(COUNTIF($A$3:$A275,$A275)=1,SUMIF(cobranza!$B$3:$B$1000,$A275,cobranza!$D$3:$D$1000),"↑"))</f>
      </c>
      <c r="Q275" s="10">
        <f>IF($A275="","",IF(COUNTIF($A$3:$A275,$A275)=1,SUMIFS($H$3:$H$1000,$A$3:$A$1000,$A275,$C$3:$C$1000,"&lt;&gt;Demo")-P275,"↑"))</f>
      </c>
      <c r="R275" s="13"/>
    </row>
    <row r="276" customFormat="false" ht="15" hidden="false" customHeight="false" outlineLevel="0" collapsed="false">
      <c r="A276" s="13"/>
      <c r="B276" s="14"/>
      <c r="C276" s="13"/>
      <c r="D276" s="13">
        <f>IF(AND($A276&lt;&gt;"",$A276=$A275),D275,"")</f>
      </c>
      <c r="E276" s="13"/>
      <c r="F276" s="13"/>
      <c r="G276" s="15"/>
      <c r="H276" s="15"/>
      <c r="I276" s="16"/>
      <c r="J276" s="13"/>
      <c r="K276" s="13">
        <f>IF(AND($A276&lt;&gt;"",$A276=$A275),K275,"")</f>
      </c>
      <c r="L276" s="13">
        <f>IF(AND($A276&lt;&gt;"",$A276=$A275),L275,"")</f>
      </c>
      <c r="M276" s="13">
        <f>IF(AND($A276&lt;&gt;"",$A276=$A275),M275,"")</f>
      </c>
      <c r="N276" s="10">
        <f>IF(H276="","",H276-G276)</f>
      </c>
      <c r="O276" s="11">
        <f>IFERROR(N276/H276,"")</f>
      </c>
      <c r="P276" s="10">
        <f>IF($A276="","",IF(COUNTIF($A$3:$A276,$A276)=1,SUMIF(cobranza!$B$3:$B$1000,$A276,cobranza!$D$3:$D$1000),"↑"))</f>
      </c>
      <c r="Q276" s="10">
        <f>IF($A276="","",IF(COUNTIF($A$3:$A276,$A276)=1,SUMIFS($H$3:$H$1000,$A$3:$A$1000,$A276,$C$3:$C$1000,"&lt;&gt;Demo")-P276,"↑"))</f>
      </c>
      <c r="R276" s="13"/>
    </row>
    <row r="277" customFormat="false" ht="15" hidden="false" customHeight="false" outlineLevel="0" collapsed="false">
      <c r="A277" s="13"/>
      <c r="B277" s="14"/>
      <c r="C277" s="13"/>
      <c r="D277" s="13">
        <f>IF(AND($A277&lt;&gt;"",$A277=$A276),D276,"")</f>
      </c>
      <c r="E277" s="13"/>
      <c r="F277" s="13"/>
      <c r="G277" s="15"/>
      <c r="H277" s="15"/>
      <c r="I277" s="16"/>
      <c r="J277" s="13"/>
      <c r="K277" s="13">
        <f>IF(AND($A277&lt;&gt;"",$A277=$A276),K276,"")</f>
      </c>
      <c r="L277" s="13">
        <f>IF(AND($A277&lt;&gt;"",$A277=$A276),L276,"")</f>
      </c>
      <c r="M277" s="13">
        <f>IF(AND($A277&lt;&gt;"",$A277=$A276),M276,"")</f>
      </c>
      <c r="N277" s="10">
        <f>IF(H277="","",H277-G277)</f>
      </c>
      <c r="O277" s="11">
        <f>IFERROR(N277/H277,"")</f>
      </c>
      <c r="P277" s="10">
        <f>IF($A277="","",IF(COUNTIF($A$3:$A277,$A277)=1,SUMIF(cobranza!$B$3:$B$1000,$A277,cobranza!$D$3:$D$1000),"↑"))</f>
      </c>
      <c r="Q277" s="10">
        <f>IF($A277="","",IF(COUNTIF($A$3:$A277,$A277)=1,SUMIFS($H$3:$H$1000,$A$3:$A$1000,$A277,$C$3:$C$1000,"&lt;&gt;Demo")-P277,"↑"))</f>
      </c>
      <c r="R277" s="13"/>
    </row>
    <row r="278" customFormat="false" ht="15" hidden="false" customHeight="false" outlineLevel="0" collapsed="false">
      <c r="A278" s="13"/>
      <c r="B278" s="14"/>
      <c r="C278" s="13"/>
      <c r="D278" s="13">
        <f>IF(AND($A278&lt;&gt;"",$A278=$A277),D277,"")</f>
      </c>
      <c r="E278" s="13"/>
      <c r="F278" s="13"/>
      <c r="G278" s="15"/>
      <c r="H278" s="15"/>
      <c r="I278" s="16"/>
      <c r="J278" s="13"/>
      <c r="K278" s="13">
        <f>IF(AND($A278&lt;&gt;"",$A278=$A277),K277,"")</f>
      </c>
      <c r="L278" s="13">
        <f>IF(AND($A278&lt;&gt;"",$A278=$A277),L277,"")</f>
      </c>
      <c r="M278" s="13">
        <f>IF(AND($A278&lt;&gt;"",$A278=$A277),M277,"")</f>
      </c>
      <c r="N278" s="10">
        <f>IF(H278="","",H278-G278)</f>
      </c>
      <c r="O278" s="11">
        <f>IFERROR(N278/H278,"")</f>
      </c>
      <c r="P278" s="10">
        <f>IF($A278="","",IF(COUNTIF($A$3:$A278,$A278)=1,SUMIF(cobranza!$B$3:$B$1000,$A278,cobranza!$D$3:$D$1000),"↑"))</f>
      </c>
      <c r="Q278" s="10">
        <f>IF($A278="","",IF(COUNTIF($A$3:$A278,$A278)=1,SUMIFS($H$3:$H$1000,$A$3:$A$1000,$A278,$C$3:$C$1000,"&lt;&gt;Demo")-P278,"↑"))</f>
      </c>
      <c r="R278" s="13"/>
    </row>
    <row r="279" customFormat="false" ht="15" hidden="false" customHeight="false" outlineLevel="0" collapsed="false">
      <c r="A279" s="13"/>
      <c r="B279" s="14"/>
      <c r="C279" s="13"/>
      <c r="D279" s="13">
        <f>IF(AND($A279&lt;&gt;"",$A279=$A278),D278,"")</f>
      </c>
      <c r="E279" s="13"/>
      <c r="F279" s="13"/>
      <c r="G279" s="15"/>
      <c r="H279" s="15"/>
      <c r="I279" s="16"/>
      <c r="J279" s="13"/>
      <c r="K279" s="13">
        <f>IF(AND($A279&lt;&gt;"",$A279=$A278),K278,"")</f>
      </c>
      <c r="L279" s="13">
        <f>IF(AND($A279&lt;&gt;"",$A279=$A278),L278,"")</f>
      </c>
      <c r="M279" s="13">
        <f>IF(AND($A279&lt;&gt;"",$A279=$A278),M278,"")</f>
      </c>
      <c r="N279" s="10">
        <f>IF(H279="","",H279-G279)</f>
      </c>
      <c r="O279" s="11">
        <f>IFERROR(N279/H279,"")</f>
      </c>
      <c r="P279" s="10">
        <f>IF($A279="","",IF(COUNTIF($A$3:$A279,$A279)=1,SUMIF(cobranza!$B$3:$B$1000,$A279,cobranza!$D$3:$D$1000),"↑"))</f>
      </c>
      <c r="Q279" s="10">
        <f>IF($A279="","",IF(COUNTIF($A$3:$A279,$A279)=1,SUMIFS($H$3:$H$1000,$A$3:$A$1000,$A279,$C$3:$C$1000,"&lt;&gt;Demo")-P279,"↑"))</f>
      </c>
      <c r="R279" s="13"/>
    </row>
    <row r="280" customFormat="false" ht="15" hidden="false" customHeight="false" outlineLevel="0" collapsed="false">
      <c r="A280" s="13"/>
      <c r="B280" s="14"/>
      <c r="C280" s="13"/>
      <c r="D280" s="13">
        <f>IF(AND($A280&lt;&gt;"",$A280=$A279),D279,"")</f>
      </c>
      <c r="E280" s="13"/>
      <c r="F280" s="13"/>
      <c r="G280" s="15"/>
      <c r="H280" s="15"/>
      <c r="I280" s="16"/>
      <c r="J280" s="13"/>
      <c r="K280" s="13">
        <f>IF(AND($A280&lt;&gt;"",$A280=$A279),K279,"")</f>
      </c>
      <c r="L280" s="13">
        <f>IF(AND($A280&lt;&gt;"",$A280=$A279),L279,"")</f>
      </c>
      <c r="M280" s="13">
        <f>IF(AND($A280&lt;&gt;"",$A280=$A279),M279,"")</f>
      </c>
      <c r="N280" s="10">
        <f>IF(H280="","",H280-G280)</f>
      </c>
      <c r="O280" s="11">
        <f>IFERROR(N280/H280,"")</f>
      </c>
      <c r="P280" s="10">
        <f>IF($A280="","",IF(COUNTIF($A$3:$A280,$A280)=1,SUMIF(cobranza!$B$3:$B$1000,$A280,cobranza!$D$3:$D$1000),"↑"))</f>
      </c>
      <c r="Q280" s="10">
        <f>IF($A280="","",IF(COUNTIF($A$3:$A280,$A280)=1,SUMIFS($H$3:$H$1000,$A$3:$A$1000,$A280,$C$3:$C$1000,"&lt;&gt;Demo")-P280,"↑"))</f>
      </c>
      <c r="R280" s="13"/>
    </row>
    <row r="281" customFormat="false" ht="15" hidden="false" customHeight="false" outlineLevel="0" collapsed="false">
      <c r="A281" s="13"/>
      <c r="B281" s="14"/>
      <c r="C281" s="13"/>
      <c r="D281" s="13">
        <f>IF(AND($A281&lt;&gt;"",$A281=$A280),D280,"")</f>
      </c>
      <c r="E281" s="13"/>
      <c r="F281" s="13"/>
      <c r="G281" s="15"/>
      <c r="H281" s="15"/>
      <c r="I281" s="16"/>
      <c r="J281" s="13"/>
      <c r="K281" s="13">
        <f>IF(AND($A281&lt;&gt;"",$A281=$A280),K280,"")</f>
      </c>
      <c r="L281" s="13">
        <f>IF(AND($A281&lt;&gt;"",$A281=$A280),L280,"")</f>
      </c>
      <c r="M281" s="13">
        <f>IF(AND($A281&lt;&gt;"",$A281=$A280),M280,"")</f>
      </c>
      <c r="N281" s="10">
        <f>IF(H281="","",H281-G281)</f>
      </c>
      <c r="O281" s="11">
        <f>IFERROR(N281/H281,"")</f>
      </c>
      <c r="P281" s="10">
        <f>IF($A281="","",IF(COUNTIF($A$3:$A281,$A281)=1,SUMIF(cobranza!$B$3:$B$1000,$A281,cobranza!$D$3:$D$1000),"↑"))</f>
      </c>
      <c r="Q281" s="10">
        <f>IF($A281="","",IF(COUNTIF($A$3:$A281,$A281)=1,SUMIFS($H$3:$H$1000,$A$3:$A$1000,$A281,$C$3:$C$1000,"&lt;&gt;Demo")-P281,"↑"))</f>
      </c>
      <c r="R281" s="13"/>
    </row>
    <row r="282" customFormat="false" ht="15" hidden="false" customHeight="false" outlineLevel="0" collapsed="false">
      <c r="A282" s="13"/>
      <c r="B282" s="14"/>
      <c r="C282" s="13"/>
      <c r="D282" s="13">
        <f>IF(AND($A282&lt;&gt;"",$A282=$A281),D281,"")</f>
      </c>
      <c r="E282" s="13"/>
      <c r="F282" s="13"/>
      <c r="G282" s="15"/>
      <c r="H282" s="15"/>
      <c r="I282" s="16"/>
      <c r="J282" s="13"/>
      <c r="K282" s="13">
        <f>IF(AND($A282&lt;&gt;"",$A282=$A281),K281,"")</f>
      </c>
      <c r="L282" s="13">
        <f>IF(AND($A282&lt;&gt;"",$A282=$A281),L281,"")</f>
      </c>
      <c r="M282" s="13">
        <f>IF(AND($A282&lt;&gt;"",$A282=$A281),M281,"")</f>
      </c>
      <c r="N282" s="10">
        <f>IF(H282="","",H282-G282)</f>
      </c>
      <c r="O282" s="11">
        <f>IFERROR(N282/H282,"")</f>
      </c>
      <c r="P282" s="10">
        <f>IF($A282="","",IF(COUNTIF($A$3:$A282,$A282)=1,SUMIF(cobranza!$B$3:$B$1000,$A282,cobranza!$D$3:$D$1000),"↑"))</f>
      </c>
      <c r="Q282" s="10">
        <f>IF($A282="","",IF(COUNTIF($A$3:$A282,$A282)=1,SUMIFS($H$3:$H$1000,$A$3:$A$1000,$A282,$C$3:$C$1000,"&lt;&gt;Demo")-P282,"↑"))</f>
      </c>
      <c r="R282" s="13"/>
    </row>
    <row r="283" customFormat="false" ht="15" hidden="false" customHeight="false" outlineLevel="0" collapsed="false">
      <c r="A283" s="13"/>
      <c r="B283" s="14"/>
      <c r="C283" s="13"/>
      <c r="D283" s="13">
        <f>IF(AND($A283&lt;&gt;"",$A283=$A282),D282,"")</f>
      </c>
      <c r="E283" s="13"/>
      <c r="F283" s="13"/>
      <c r="G283" s="15"/>
      <c r="H283" s="15"/>
      <c r="I283" s="16"/>
      <c r="J283" s="13"/>
      <c r="K283" s="13">
        <f>IF(AND($A283&lt;&gt;"",$A283=$A282),K282,"")</f>
      </c>
      <c r="L283" s="13">
        <f>IF(AND($A283&lt;&gt;"",$A283=$A282),L282,"")</f>
      </c>
      <c r="M283" s="13">
        <f>IF(AND($A283&lt;&gt;"",$A283=$A282),M282,"")</f>
      </c>
      <c r="N283" s="10">
        <f>IF(H283="","",H283-G283)</f>
      </c>
      <c r="O283" s="11">
        <f>IFERROR(N283/H283,"")</f>
      </c>
      <c r="P283" s="10">
        <f>IF($A283="","",IF(COUNTIF($A$3:$A283,$A283)=1,SUMIF(cobranza!$B$3:$B$1000,$A283,cobranza!$D$3:$D$1000),"↑"))</f>
      </c>
      <c r="Q283" s="10">
        <f>IF($A283="","",IF(COUNTIF($A$3:$A283,$A283)=1,SUMIFS($H$3:$H$1000,$A$3:$A$1000,$A283,$C$3:$C$1000,"&lt;&gt;Demo")-P283,"↑"))</f>
      </c>
      <c r="R283" s="13"/>
    </row>
    <row r="284" customFormat="false" ht="15" hidden="false" customHeight="false" outlineLevel="0" collapsed="false">
      <c r="A284" s="13"/>
      <c r="B284" s="14"/>
      <c r="C284" s="13"/>
      <c r="D284" s="13">
        <f>IF(AND($A284&lt;&gt;"",$A284=$A283),D283,"")</f>
      </c>
      <c r="E284" s="13"/>
      <c r="F284" s="13"/>
      <c r="G284" s="15"/>
      <c r="H284" s="15"/>
      <c r="I284" s="16"/>
      <c r="J284" s="13"/>
      <c r="K284" s="13">
        <f>IF(AND($A284&lt;&gt;"",$A284=$A283),K283,"")</f>
      </c>
      <c r="L284" s="13">
        <f>IF(AND($A284&lt;&gt;"",$A284=$A283),L283,"")</f>
      </c>
      <c r="M284" s="13">
        <f>IF(AND($A284&lt;&gt;"",$A284=$A283),M283,"")</f>
      </c>
      <c r="N284" s="10">
        <f>IF(H284="","",H284-G284)</f>
      </c>
      <c r="O284" s="11">
        <f>IFERROR(N284/H284,"")</f>
      </c>
      <c r="P284" s="10">
        <f>IF($A284="","",IF(COUNTIF($A$3:$A284,$A284)=1,SUMIF(cobranza!$B$3:$B$1000,$A284,cobranza!$D$3:$D$1000),"↑"))</f>
      </c>
      <c r="Q284" s="10">
        <f>IF($A284="","",IF(COUNTIF($A$3:$A284,$A284)=1,SUMIFS($H$3:$H$1000,$A$3:$A$1000,$A284,$C$3:$C$1000,"&lt;&gt;Demo")-P284,"↑"))</f>
      </c>
      <c r="R284" s="13"/>
    </row>
    <row r="285" customFormat="false" ht="15" hidden="false" customHeight="false" outlineLevel="0" collapsed="false">
      <c r="A285" s="13"/>
      <c r="B285" s="14"/>
      <c r="C285" s="13"/>
      <c r="D285" s="13">
        <f>IF(AND($A285&lt;&gt;"",$A285=$A284),D284,"")</f>
      </c>
      <c r="E285" s="13"/>
      <c r="F285" s="13"/>
      <c r="G285" s="15"/>
      <c r="H285" s="15"/>
      <c r="I285" s="16"/>
      <c r="J285" s="13"/>
      <c r="K285" s="13">
        <f>IF(AND($A285&lt;&gt;"",$A285=$A284),K284,"")</f>
      </c>
      <c r="L285" s="13">
        <f>IF(AND($A285&lt;&gt;"",$A285=$A284),L284,"")</f>
      </c>
      <c r="M285" s="13">
        <f>IF(AND($A285&lt;&gt;"",$A285=$A284),M284,"")</f>
      </c>
      <c r="N285" s="10">
        <f>IF(H285="","",H285-G285)</f>
      </c>
      <c r="O285" s="11">
        <f>IFERROR(N285/H285,"")</f>
      </c>
      <c r="P285" s="10">
        <f>IF($A285="","",IF(COUNTIF($A$3:$A285,$A285)=1,SUMIF(cobranza!$B$3:$B$1000,$A285,cobranza!$D$3:$D$1000),"↑"))</f>
      </c>
      <c r="Q285" s="10">
        <f>IF($A285="","",IF(COUNTIF($A$3:$A285,$A285)=1,SUMIFS($H$3:$H$1000,$A$3:$A$1000,$A285,$C$3:$C$1000,"&lt;&gt;Demo")-P285,"↑"))</f>
      </c>
      <c r="R285" s="13"/>
    </row>
    <row r="286" customFormat="false" ht="15" hidden="false" customHeight="false" outlineLevel="0" collapsed="false">
      <c r="A286" s="13"/>
      <c r="B286" s="14"/>
      <c r="C286" s="13"/>
      <c r="D286" s="13">
        <f>IF(AND($A286&lt;&gt;"",$A286=$A285),D285,"")</f>
      </c>
      <c r="E286" s="13"/>
      <c r="F286" s="13"/>
      <c r="G286" s="15"/>
      <c r="H286" s="15"/>
      <c r="I286" s="16"/>
      <c r="J286" s="13"/>
      <c r="K286" s="13">
        <f>IF(AND($A286&lt;&gt;"",$A286=$A285),K285,"")</f>
      </c>
      <c r="L286" s="13">
        <f>IF(AND($A286&lt;&gt;"",$A286=$A285),L285,"")</f>
      </c>
      <c r="M286" s="13">
        <f>IF(AND($A286&lt;&gt;"",$A286=$A285),M285,"")</f>
      </c>
      <c r="N286" s="10">
        <f>IF(H286="","",H286-G286)</f>
      </c>
      <c r="O286" s="11">
        <f>IFERROR(N286/H286,"")</f>
      </c>
      <c r="P286" s="10">
        <f>IF($A286="","",IF(COUNTIF($A$3:$A286,$A286)=1,SUMIF(cobranza!$B$3:$B$1000,$A286,cobranza!$D$3:$D$1000),"↑"))</f>
      </c>
      <c r="Q286" s="10">
        <f>IF($A286="","",IF(COUNTIF($A$3:$A286,$A286)=1,SUMIFS($H$3:$H$1000,$A$3:$A$1000,$A286,$C$3:$C$1000,"&lt;&gt;Demo")-P286,"↑"))</f>
      </c>
      <c r="R286" s="13"/>
    </row>
    <row r="287" customFormat="false" ht="15" hidden="false" customHeight="false" outlineLevel="0" collapsed="false">
      <c r="A287" s="13"/>
      <c r="B287" s="14"/>
      <c r="C287" s="13"/>
      <c r="D287" s="13">
        <f>IF(AND($A287&lt;&gt;"",$A287=$A286),D286,"")</f>
      </c>
      <c r="E287" s="13"/>
      <c r="F287" s="13"/>
      <c r="G287" s="15"/>
      <c r="H287" s="15"/>
      <c r="I287" s="16"/>
      <c r="J287" s="13"/>
      <c r="K287" s="13">
        <f>IF(AND($A287&lt;&gt;"",$A287=$A286),K286,"")</f>
      </c>
      <c r="L287" s="13">
        <f>IF(AND($A287&lt;&gt;"",$A287=$A286),L286,"")</f>
      </c>
      <c r="M287" s="13">
        <f>IF(AND($A287&lt;&gt;"",$A287=$A286),M286,"")</f>
      </c>
      <c r="N287" s="10">
        <f>IF(H287="","",H287-G287)</f>
      </c>
      <c r="O287" s="11">
        <f>IFERROR(N287/H287,"")</f>
      </c>
      <c r="P287" s="10">
        <f>IF($A287="","",IF(COUNTIF($A$3:$A287,$A287)=1,SUMIF(cobranza!$B$3:$B$1000,$A287,cobranza!$D$3:$D$1000),"↑"))</f>
      </c>
      <c r="Q287" s="10">
        <f>IF($A287="","",IF(COUNTIF($A$3:$A287,$A287)=1,SUMIFS($H$3:$H$1000,$A$3:$A$1000,$A287,$C$3:$C$1000,"&lt;&gt;Demo")-P287,"↑"))</f>
      </c>
      <c r="R287" s="13"/>
    </row>
    <row r="288" customFormat="false" ht="15" hidden="false" customHeight="false" outlineLevel="0" collapsed="false">
      <c r="A288" s="13"/>
      <c r="B288" s="14"/>
      <c r="C288" s="13"/>
      <c r="D288" s="13">
        <f>IF(AND($A288&lt;&gt;"",$A288=$A287),D287,"")</f>
      </c>
      <c r="E288" s="13"/>
      <c r="F288" s="13"/>
      <c r="G288" s="15"/>
      <c r="H288" s="15"/>
      <c r="I288" s="16"/>
      <c r="J288" s="13"/>
      <c r="K288" s="13">
        <f>IF(AND($A288&lt;&gt;"",$A288=$A287),K287,"")</f>
      </c>
      <c r="L288" s="13">
        <f>IF(AND($A288&lt;&gt;"",$A288=$A287),L287,"")</f>
      </c>
      <c r="M288" s="13">
        <f>IF(AND($A288&lt;&gt;"",$A288=$A287),M287,"")</f>
      </c>
      <c r="N288" s="10">
        <f>IF(H288="","",H288-G288)</f>
      </c>
      <c r="O288" s="11">
        <f>IFERROR(N288/H288,"")</f>
      </c>
      <c r="P288" s="10">
        <f>IF($A288="","",IF(COUNTIF($A$3:$A288,$A288)=1,SUMIF(cobranza!$B$3:$B$1000,$A288,cobranza!$D$3:$D$1000),"↑"))</f>
      </c>
      <c r="Q288" s="10">
        <f>IF($A288="","",IF(COUNTIF($A$3:$A288,$A288)=1,SUMIFS($H$3:$H$1000,$A$3:$A$1000,$A288,$C$3:$C$1000,"&lt;&gt;Demo")-P288,"↑"))</f>
      </c>
      <c r="R288" s="13"/>
    </row>
    <row r="289" customFormat="false" ht="15" hidden="false" customHeight="false" outlineLevel="0" collapsed="false">
      <c r="A289" s="13"/>
      <c r="B289" s="14"/>
      <c r="C289" s="13"/>
      <c r="D289" s="13">
        <f>IF(AND($A289&lt;&gt;"",$A289=$A288),D288,"")</f>
      </c>
      <c r="E289" s="13"/>
      <c r="F289" s="13"/>
      <c r="G289" s="15"/>
      <c r="H289" s="15"/>
      <c r="I289" s="16"/>
      <c r="J289" s="13"/>
      <c r="K289" s="13">
        <f>IF(AND($A289&lt;&gt;"",$A289=$A288),K288,"")</f>
      </c>
      <c r="L289" s="13">
        <f>IF(AND($A289&lt;&gt;"",$A289=$A288),L288,"")</f>
      </c>
      <c r="M289" s="13">
        <f>IF(AND($A289&lt;&gt;"",$A289=$A288),M288,"")</f>
      </c>
      <c r="N289" s="10">
        <f>IF(H289="","",H289-G289)</f>
      </c>
      <c r="O289" s="11">
        <f>IFERROR(N289/H289,"")</f>
      </c>
      <c r="P289" s="10">
        <f>IF($A289="","",IF(COUNTIF($A$3:$A289,$A289)=1,SUMIF(cobranza!$B$3:$B$1000,$A289,cobranza!$D$3:$D$1000),"↑"))</f>
      </c>
      <c r="Q289" s="10">
        <f>IF($A289="","",IF(COUNTIF($A$3:$A289,$A289)=1,SUMIFS($H$3:$H$1000,$A$3:$A$1000,$A289,$C$3:$C$1000,"&lt;&gt;Demo")-P289,"↑"))</f>
      </c>
      <c r="R289" s="13"/>
    </row>
    <row r="290" customFormat="false" ht="15" hidden="false" customHeight="false" outlineLevel="0" collapsed="false">
      <c r="A290" s="13"/>
      <c r="B290" s="14"/>
      <c r="C290" s="13"/>
      <c r="D290" s="13">
        <f>IF(AND($A290&lt;&gt;"",$A290=$A289),D289,"")</f>
      </c>
      <c r="E290" s="13"/>
      <c r="F290" s="13"/>
      <c r="G290" s="15"/>
      <c r="H290" s="15"/>
      <c r="I290" s="16"/>
      <c r="J290" s="13"/>
      <c r="K290" s="13">
        <f>IF(AND($A290&lt;&gt;"",$A290=$A289),K289,"")</f>
      </c>
      <c r="L290" s="13">
        <f>IF(AND($A290&lt;&gt;"",$A290=$A289),L289,"")</f>
      </c>
      <c r="M290" s="13">
        <f>IF(AND($A290&lt;&gt;"",$A290=$A289),M289,"")</f>
      </c>
      <c r="N290" s="10">
        <f>IF(H290="","",H290-G290)</f>
      </c>
      <c r="O290" s="11">
        <f>IFERROR(N290/H290,"")</f>
      </c>
      <c r="P290" s="10">
        <f>IF($A290="","",IF(COUNTIF($A$3:$A290,$A290)=1,SUMIF(cobranza!$B$3:$B$1000,$A290,cobranza!$D$3:$D$1000),"↑"))</f>
      </c>
      <c r="Q290" s="10">
        <f>IF($A290="","",IF(COUNTIF($A$3:$A290,$A290)=1,SUMIFS($H$3:$H$1000,$A$3:$A$1000,$A290,$C$3:$C$1000,"&lt;&gt;Demo")-P290,"↑"))</f>
      </c>
      <c r="R290" s="13"/>
    </row>
    <row r="291" customFormat="false" ht="15" hidden="false" customHeight="false" outlineLevel="0" collapsed="false">
      <c r="A291" s="13"/>
      <c r="B291" s="14"/>
      <c r="C291" s="13"/>
      <c r="D291" s="13">
        <f>IF(AND($A291&lt;&gt;"",$A291=$A290),D290,"")</f>
      </c>
      <c r="E291" s="13"/>
      <c r="F291" s="13"/>
      <c r="G291" s="15"/>
      <c r="H291" s="15"/>
      <c r="I291" s="16"/>
      <c r="J291" s="13"/>
      <c r="K291" s="13">
        <f>IF(AND($A291&lt;&gt;"",$A291=$A290),K290,"")</f>
      </c>
      <c r="L291" s="13">
        <f>IF(AND($A291&lt;&gt;"",$A291=$A290),L290,"")</f>
      </c>
      <c r="M291" s="13">
        <f>IF(AND($A291&lt;&gt;"",$A291=$A290),M290,"")</f>
      </c>
      <c r="N291" s="10">
        <f>IF(H291="","",H291-G291)</f>
      </c>
      <c r="O291" s="11">
        <f>IFERROR(N291/H291,"")</f>
      </c>
      <c r="P291" s="10">
        <f>IF($A291="","",IF(COUNTIF($A$3:$A291,$A291)=1,SUMIF(cobranza!$B$3:$B$1000,$A291,cobranza!$D$3:$D$1000),"↑"))</f>
      </c>
      <c r="Q291" s="10">
        <f>IF($A291="","",IF(COUNTIF($A$3:$A291,$A291)=1,SUMIFS($H$3:$H$1000,$A$3:$A$1000,$A291,$C$3:$C$1000,"&lt;&gt;Demo")-P291,"↑"))</f>
      </c>
      <c r="R291" s="13"/>
    </row>
    <row r="292" customFormat="false" ht="15" hidden="false" customHeight="false" outlineLevel="0" collapsed="false">
      <c r="A292" s="13"/>
      <c r="B292" s="14"/>
      <c r="C292" s="13"/>
      <c r="D292" s="13">
        <f>IF(AND($A292&lt;&gt;"",$A292=$A291),D291,"")</f>
      </c>
      <c r="E292" s="13"/>
      <c r="F292" s="13"/>
      <c r="G292" s="15"/>
      <c r="H292" s="15"/>
      <c r="I292" s="16"/>
      <c r="J292" s="13"/>
      <c r="K292" s="13">
        <f>IF(AND($A292&lt;&gt;"",$A292=$A291),K291,"")</f>
      </c>
      <c r="L292" s="13">
        <f>IF(AND($A292&lt;&gt;"",$A292=$A291),L291,"")</f>
      </c>
      <c r="M292" s="13">
        <f>IF(AND($A292&lt;&gt;"",$A292=$A291),M291,"")</f>
      </c>
      <c r="N292" s="10">
        <f>IF(H292="","",H292-G292)</f>
      </c>
      <c r="O292" s="11">
        <f>IFERROR(N292/H292,"")</f>
      </c>
      <c r="P292" s="10">
        <f>IF($A292="","",IF(COUNTIF($A$3:$A292,$A292)=1,SUMIF(cobranza!$B$3:$B$1000,$A292,cobranza!$D$3:$D$1000),"↑"))</f>
      </c>
      <c r="Q292" s="10">
        <f>IF($A292="","",IF(COUNTIF($A$3:$A292,$A292)=1,SUMIFS($H$3:$H$1000,$A$3:$A$1000,$A292,$C$3:$C$1000,"&lt;&gt;Demo")-P292,"↑"))</f>
      </c>
      <c r="R292" s="13"/>
    </row>
    <row r="293" customFormat="false" ht="15" hidden="false" customHeight="false" outlineLevel="0" collapsed="false">
      <c r="A293" s="13"/>
      <c r="B293" s="14"/>
      <c r="C293" s="13"/>
      <c r="D293" s="13">
        <f>IF(AND($A293&lt;&gt;"",$A293=$A292),D292,"")</f>
      </c>
      <c r="E293" s="13"/>
      <c r="F293" s="13"/>
      <c r="G293" s="15"/>
      <c r="H293" s="15"/>
      <c r="I293" s="16"/>
      <c r="J293" s="13"/>
      <c r="K293" s="13">
        <f>IF(AND($A293&lt;&gt;"",$A293=$A292),K292,"")</f>
      </c>
      <c r="L293" s="13">
        <f>IF(AND($A293&lt;&gt;"",$A293=$A292),L292,"")</f>
      </c>
      <c r="M293" s="13">
        <f>IF(AND($A293&lt;&gt;"",$A293=$A292),M292,"")</f>
      </c>
      <c r="N293" s="10">
        <f>IF(H293="","",H293-G293)</f>
      </c>
      <c r="O293" s="11">
        <f>IFERROR(N293/H293,"")</f>
      </c>
      <c r="P293" s="10">
        <f>IF($A293="","",IF(COUNTIF($A$3:$A293,$A293)=1,SUMIF(cobranza!$B$3:$B$1000,$A293,cobranza!$D$3:$D$1000),"↑"))</f>
      </c>
      <c r="Q293" s="10">
        <f>IF($A293="","",IF(COUNTIF($A$3:$A293,$A293)=1,SUMIFS($H$3:$H$1000,$A$3:$A$1000,$A293,$C$3:$C$1000,"&lt;&gt;Demo")-P293,"↑"))</f>
      </c>
      <c r="R293" s="13"/>
    </row>
    <row r="294" customFormat="false" ht="15" hidden="false" customHeight="false" outlineLevel="0" collapsed="false">
      <c r="A294" s="13"/>
      <c r="B294" s="14"/>
      <c r="C294" s="13"/>
      <c r="D294" s="13">
        <f>IF(AND($A294&lt;&gt;"",$A294=$A293),D293,"")</f>
      </c>
      <c r="E294" s="13"/>
      <c r="F294" s="13"/>
      <c r="G294" s="15"/>
      <c r="H294" s="15"/>
      <c r="I294" s="16"/>
      <c r="J294" s="13"/>
      <c r="K294" s="13">
        <f>IF(AND($A294&lt;&gt;"",$A294=$A293),K293,"")</f>
      </c>
      <c r="L294" s="13">
        <f>IF(AND($A294&lt;&gt;"",$A294=$A293),L293,"")</f>
      </c>
      <c r="M294" s="13">
        <f>IF(AND($A294&lt;&gt;"",$A294=$A293),M293,"")</f>
      </c>
      <c r="N294" s="10">
        <f>IF(H294="","",H294-G294)</f>
      </c>
      <c r="O294" s="11">
        <f>IFERROR(N294/H294,"")</f>
      </c>
      <c r="P294" s="10">
        <f>IF($A294="","",IF(COUNTIF($A$3:$A294,$A294)=1,SUMIF(cobranza!$B$3:$B$1000,$A294,cobranza!$D$3:$D$1000),"↑"))</f>
      </c>
      <c r="Q294" s="10">
        <f>IF($A294="","",IF(COUNTIF($A$3:$A294,$A294)=1,SUMIFS($H$3:$H$1000,$A$3:$A$1000,$A294,$C$3:$C$1000,"&lt;&gt;Demo")-P294,"↑"))</f>
      </c>
      <c r="R294" s="13"/>
    </row>
    <row r="295" customFormat="false" ht="15" hidden="false" customHeight="false" outlineLevel="0" collapsed="false">
      <c r="A295" s="13"/>
      <c r="B295" s="14"/>
      <c r="C295" s="13"/>
      <c r="D295" s="13">
        <f>IF(AND($A295&lt;&gt;"",$A295=$A294),D294,"")</f>
      </c>
      <c r="E295" s="13"/>
      <c r="F295" s="13"/>
      <c r="G295" s="15"/>
      <c r="H295" s="15"/>
      <c r="I295" s="16"/>
      <c r="J295" s="13"/>
      <c r="K295" s="13">
        <f>IF(AND($A295&lt;&gt;"",$A295=$A294),K294,"")</f>
      </c>
      <c r="L295" s="13">
        <f>IF(AND($A295&lt;&gt;"",$A295=$A294),L294,"")</f>
      </c>
      <c r="M295" s="13">
        <f>IF(AND($A295&lt;&gt;"",$A295=$A294),M294,"")</f>
      </c>
      <c r="N295" s="10">
        <f>IF(H295="","",H295-G295)</f>
      </c>
      <c r="O295" s="11">
        <f>IFERROR(N295/H295,"")</f>
      </c>
      <c r="P295" s="10">
        <f>IF($A295="","",IF(COUNTIF($A$3:$A295,$A295)=1,SUMIF(cobranza!$B$3:$B$1000,$A295,cobranza!$D$3:$D$1000),"↑"))</f>
      </c>
      <c r="Q295" s="10">
        <f>IF($A295="","",IF(COUNTIF($A$3:$A295,$A295)=1,SUMIFS($H$3:$H$1000,$A$3:$A$1000,$A295,$C$3:$C$1000,"&lt;&gt;Demo")-P295,"↑"))</f>
      </c>
      <c r="R295" s="13"/>
    </row>
    <row r="296" customFormat="false" ht="15" hidden="false" customHeight="false" outlineLevel="0" collapsed="false">
      <c r="A296" s="13"/>
      <c r="B296" s="14"/>
      <c r="C296" s="13"/>
      <c r="D296" s="13">
        <f>IF(AND($A296&lt;&gt;"",$A296=$A295),D295,"")</f>
      </c>
      <c r="E296" s="13"/>
      <c r="F296" s="13"/>
      <c r="G296" s="15"/>
      <c r="H296" s="15"/>
      <c r="I296" s="16"/>
      <c r="J296" s="13"/>
      <c r="K296" s="13">
        <f>IF(AND($A296&lt;&gt;"",$A296=$A295),K295,"")</f>
      </c>
      <c r="L296" s="13">
        <f>IF(AND($A296&lt;&gt;"",$A296=$A295),L295,"")</f>
      </c>
      <c r="M296" s="13">
        <f>IF(AND($A296&lt;&gt;"",$A296=$A295),M295,"")</f>
      </c>
      <c r="N296" s="10">
        <f>IF(H296="","",H296-G296)</f>
      </c>
      <c r="O296" s="11">
        <f>IFERROR(N296/H296,"")</f>
      </c>
      <c r="P296" s="10">
        <f>IF($A296="","",IF(COUNTIF($A$3:$A296,$A296)=1,SUMIF(cobranza!$B$3:$B$1000,$A296,cobranza!$D$3:$D$1000),"↑"))</f>
      </c>
      <c r="Q296" s="10">
        <f>IF($A296="","",IF(COUNTIF($A$3:$A296,$A296)=1,SUMIFS($H$3:$H$1000,$A$3:$A$1000,$A296,$C$3:$C$1000,"&lt;&gt;Demo")-P296,"↑"))</f>
      </c>
      <c r="R296" s="13"/>
    </row>
    <row r="297" customFormat="false" ht="15" hidden="false" customHeight="false" outlineLevel="0" collapsed="false">
      <c r="A297" s="13"/>
      <c r="B297" s="14"/>
      <c r="C297" s="13"/>
      <c r="D297" s="13">
        <f>IF(AND($A297&lt;&gt;"",$A297=$A296),D296,"")</f>
      </c>
      <c r="E297" s="13"/>
      <c r="F297" s="13"/>
      <c r="G297" s="15"/>
      <c r="H297" s="15"/>
      <c r="I297" s="16"/>
      <c r="J297" s="13"/>
      <c r="K297" s="13">
        <f>IF(AND($A297&lt;&gt;"",$A297=$A296),K296,"")</f>
      </c>
      <c r="L297" s="13">
        <f>IF(AND($A297&lt;&gt;"",$A297=$A296),L296,"")</f>
      </c>
      <c r="M297" s="13">
        <f>IF(AND($A297&lt;&gt;"",$A297=$A296),M296,"")</f>
      </c>
      <c r="N297" s="10">
        <f>IF(H297="","",H297-G297)</f>
      </c>
      <c r="O297" s="11">
        <f>IFERROR(N297/H297,"")</f>
      </c>
      <c r="P297" s="10">
        <f>IF($A297="","",IF(COUNTIF($A$3:$A297,$A297)=1,SUMIF(cobranza!$B$3:$B$1000,$A297,cobranza!$D$3:$D$1000),"↑"))</f>
      </c>
      <c r="Q297" s="10">
        <f>IF($A297="","",IF(COUNTIF($A$3:$A297,$A297)=1,SUMIFS($H$3:$H$1000,$A$3:$A$1000,$A297,$C$3:$C$1000,"&lt;&gt;Demo")-P297,"↑"))</f>
      </c>
      <c r="R297" s="13"/>
    </row>
    <row r="298" customFormat="false" ht="15" hidden="false" customHeight="false" outlineLevel="0" collapsed="false">
      <c r="A298" s="13"/>
      <c r="B298" s="14"/>
      <c r="C298" s="13"/>
      <c r="D298" s="13">
        <f>IF(AND($A298&lt;&gt;"",$A298=$A297),D297,"")</f>
      </c>
      <c r="E298" s="13"/>
      <c r="F298" s="13"/>
      <c r="G298" s="15"/>
      <c r="H298" s="15"/>
      <c r="I298" s="16"/>
      <c r="J298" s="13"/>
      <c r="K298" s="13">
        <f>IF(AND($A298&lt;&gt;"",$A298=$A297),K297,"")</f>
      </c>
      <c r="L298" s="13">
        <f>IF(AND($A298&lt;&gt;"",$A298=$A297),L297,"")</f>
      </c>
      <c r="M298" s="13">
        <f>IF(AND($A298&lt;&gt;"",$A298=$A297),M297,"")</f>
      </c>
      <c r="N298" s="10">
        <f>IF(H298="","",H298-G298)</f>
      </c>
      <c r="O298" s="11">
        <f>IFERROR(N298/H298,"")</f>
      </c>
      <c r="P298" s="10">
        <f>IF($A298="","",IF(COUNTIF($A$3:$A298,$A298)=1,SUMIF(cobranza!$B$3:$B$1000,$A298,cobranza!$D$3:$D$1000),"↑"))</f>
      </c>
      <c r="Q298" s="10">
        <f>IF($A298="","",IF(COUNTIF($A$3:$A298,$A298)=1,SUMIFS($H$3:$H$1000,$A$3:$A$1000,$A298,$C$3:$C$1000,"&lt;&gt;Demo")-P298,"↑"))</f>
      </c>
      <c r="R298" s="13"/>
    </row>
    <row r="299" customFormat="false" ht="15" hidden="false" customHeight="false" outlineLevel="0" collapsed="false">
      <c r="A299" s="13"/>
      <c r="B299" s="14"/>
      <c r="C299" s="13"/>
      <c r="D299" s="13">
        <f>IF(AND($A299&lt;&gt;"",$A299=$A298),D298,"")</f>
      </c>
      <c r="E299" s="13"/>
      <c r="F299" s="13"/>
      <c r="G299" s="15"/>
      <c r="H299" s="15"/>
      <c r="I299" s="16"/>
      <c r="J299" s="13"/>
      <c r="K299" s="13">
        <f>IF(AND($A299&lt;&gt;"",$A299=$A298),K298,"")</f>
      </c>
      <c r="L299" s="13">
        <f>IF(AND($A299&lt;&gt;"",$A299=$A298),L298,"")</f>
      </c>
      <c r="M299" s="13">
        <f>IF(AND($A299&lt;&gt;"",$A299=$A298),M298,"")</f>
      </c>
      <c r="N299" s="10">
        <f>IF(H299="","",H299-G299)</f>
      </c>
      <c r="O299" s="11">
        <f>IFERROR(N299/H299,"")</f>
      </c>
      <c r="P299" s="10">
        <f>IF($A299="","",IF(COUNTIF($A$3:$A299,$A299)=1,SUMIF(cobranza!$B$3:$B$1000,$A299,cobranza!$D$3:$D$1000),"↑"))</f>
      </c>
      <c r="Q299" s="10">
        <f>IF($A299="","",IF(COUNTIF($A$3:$A299,$A299)=1,SUMIFS($H$3:$H$1000,$A$3:$A$1000,$A299,$C$3:$C$1000,"&lt;&gt;Demo")-P299,"↑"))</f>
      </c>
      <c r="R299" s="13"/>
    </row>
    <row r="300" customFormat="false" ht="15" hidden="false" customHeight="false" outlineLevel="0" collapsed="false">
      <c r="A300" s="13"/>
      <c r="B300" s="14"/>
      <c r="C300" s="13"/>
      <c r="D300" s="13">
        <f>IF(AND($A300&lt;&gt;"",$A300=$A299),D299,"")</f>
      </c>
      <c r="E300" s="13"/>
      <c r="F300" s="13"/>
      <c r="G300" s="15"/>
      <c r="H300" s="15"/>
      <c r="I300" s="16"/>
      <c r="J300" s="13"/>
      <c r="K300" s="13">
        <f>IF(AND($A300&lt;&gt;"",$A300=$A299),K299,"")</f>
      </c>
      <c r="L300" s="13">
        <f>IF(AND($A300&lt;&gt;"",$A300=$A299),L299,"")</f>
      </c>
      <c r="M300" s="13">
        <f>IF(AND($A300&lt;&gt;"",$A300=$A299),M299,"")</f>
      </c>
      <c r="N300" s="10">
        <f>IF(H300="","",H300-G300)</f>
      </c>
      <c r="O300" s="11">
        <f>IFERROR(N300/H300,"")</f>
      </c>
      <c r="P300" s="10">
        <f>IF($A300="","",IF(COUNTIF($A$3:$A300,$A300)=1,SUMIF(cobranza!$B$3:$B$1000,$A300,cobranza!$D$3:$D$1000),"↑"))</f>
      </c>
      <c r="Q300" s="10">
        <f>IF($A300="","",IF(COUNTIF($A$3:$A300,$A300)=1,SUMIFS($H$3:$H$1000,$A$3:$A$1000,$A300,$C$3:$C$1000,"&lt;&gt;Demo")-P300,"↑"))</f>
      </c>
      <c r="R300" s="13"/>
    </row>
    <row r="301" customFormat="false" ht="15" hidden="false" customHeight="false" outlineLevel="0" collapsed="false">
      <c r="A301" s="13"/>
      <c r="B301" s="14"/>
      <c r="C301" s="13"/>
      <c r="D301" s="13">
        <f>IF(AND($A301&lt;&gt;"",$A301=$A300),D300,"")</f>
      </c>
      <c r="E301" s="13"/>
      <c r="F301" s="13"/>
      <c r="G301" s="15"/>
      <c r="H301" s="15"/>
      <c r="I301" s="16"/>
      <c r="J301" s="13"/>
      <c r="K301" s="13">
        <f>IF(AND($A301&lt;&gt;"",$A301=$A300),K300,"")</f>
      </c>
      <c r="L301" s="13">
        <f>IF(AND($A301&lt;&gt;"",$A301=$A300),L300,"")</f>
      </c>
      <c r="M301" s="13">
        <f>IF(AND($A301&lt;&gt;"",$A301=$A300),M300,"")</f>
      </c>
      <c r="N301" s="10">
        <f>IF(H301="","",H301-G301)</f>
      </c>
      <c r="O301" s="11">
        <f>IFERROR(N301/H301,"")</f>
      </c>
      <c r="P301" s="10">
        <f>IF($A301="","",IF(COUNTIF($A$3:$A301,$A301)=1,SUMIF(cobranza!$B$3:$B$1000,$A301,cobranza!$D$3:$D$1000),"↑"))</f>
      </c>
      <c r="Q301" s="10">
        <f>IF($A301="","",IF(COUNTIF($A$3:$A301,$A301)=1,SUMIFS($H$3:$H$1000,$A$3:$A$1000,$A301,$C$3:$C$1000,"&lt;&gt;Demo")-P301,"↑"))</f>
      </c>
      <c r="R301" s="13"/>
    </row>
  </sheetData>
  <dataValidations count="3">
    <dataValidation allowBlank="true" errorStyle="stop" operator="between" showDropDown="false" showErrorMessage="false" showInputMessage="false" sqref="C3:C301" type="list">
      <formula1>_listas!$A$1:$A$6</formula1>
      <formula2>0</formula2>
    </dataValidation>
    <dataValidation allowBlank="true" errorStyle="stop" operator="between" showDropDown="false" showErrorMessage="false" showInputMessage="false" sqref="L3:L301" type="list">
      <formula1>_listas!$B$1:$B$3</formula1>
      <formula2>0</formula2>
    </dataValidation>
    <dataValidation allowBlank="true" errorStyle="stop" operator="between" showDropDown="false" showErrorMessage="false" showInputMessage="false" sqref="J3:J301" type="list">
      <formula1>_listas!$C$1:$C$3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34"/>
    <col collapsed="false" customWidth="true" hidden="false" outlineLevel="0" max="7" min="7" style="0" width="46"/>
  </cols>
  <sheetData>
    <row r="1" customFormat="false" ht="30" hidden="false" customHeight="true" outlineLevel="0" collapsed="false">
      <c r="A1" s="6" t="s">
        <v>165</v>
      </c>
      <c r="B1" s="6" t="s">
        <v>166</v>
      </c>
      <c r="C1" s="6" t="s">
        <v>167</v>
      </c>
      <c r="D1" s="6" t="s">
        <v>168</v>
      </c>
      <c r="E1" s="6" t="s">
        <v>169</v>
      </c>
      <c r="F1" s="6" t="s">
        <v>170</v>
      </c>
      <c r="G1" s="6" t="s">
        <v>100</v>
      </c>
    </row>
    <row r="2" customFormat="false" ht="15" hidden="false" customHeight="false" outlineLevel="0" collapsed="false">
      <c r="A2" s="22" t="s">
        <v>171</v>
      </c>
      <c r="B2" s="22" t="s">
        <v>101</v>
      </c>
      <c r="C2" s="22" t="s">
        <v>172</v>
      </c>
      <c r="D2" s="23" t="n">
        <v>100000</v>
      </c>
      <c r="E2" s="22" t="s">
        <v>57</v>
      </c>
      <c r="F2" s="22" t="s">
        <v>103</v>
      </c>
      <c r="G2" s="22" t="s">
        <v>106</v>
      </c>
    </row>
    <row r="3" customFormat="false" ht="15" hidden="false" customHeight="false" outlineLevel="0" collapsed="false">
      <c r="A3" s="13"/>
      <c r="B3" s="13"/>
      <c r="C3" s="14"/>
      <c r="D3" s="15"/>
      <c r="E3" s="13"/>
      <c r="F3" s="13"/>
      <c r="G3" s="13"/>
    </row>
    <row r="4" customFormat="false" ht="15" hidden="false" customHeight="false" outlineLevel="0" collapsed="false">
      <c r="A4" s="13"/>
      <c r="B4" s="13"/>
      <c r="C4" s="14"/>
      <c r="D4" s="15"/>
      <c r="E4" s="13"/>
      <c r="F4" s="13"/>
      <c r="G4" s="13"/>
    </row>
    <row r="5" customFormat="false" ht="15" hidden="false" customHeight="false" outlineLevel="0" collapsed="false">
      <c r="A5" s="13"/>
      <c r="B5" s="13"/>
      <c r="C5" s="14"/>
      <c r="D5" s="15"/>
      <c r="E5" s="13"/>
      <c r="F5" s="13"/>
      <c r="G5" s="13"/>
    </row>
    <row r="6" customFormat="false" ht="15" hidden="false" customHeight="false" outlineLevel="0" collapsed="false">
      <c r="A6" s="13"/>
      <c r="B6" s="13"/>
      <c r="C6" s="14"/>
      <c r="D6" s="15"/>
      <c r="E6" s="13"/>
      <c r="F6" s="13"/>
      <c r="G6" s="13"/>
    </row>
    <row r="7" customFormat="false" ht="15" hidden="false" customHeight="false" outlineLevel="0" collapsed="false">
      <c r="A7" s="13"/>
      <c r="B7" s="13"/>
      <c r="C7" s="14"/>
      <c r="D7" s="15"/>
      <c r="E7" s="13"/>
      <c r="F7" s="13"/>
      <c r="G7" s="13"/>
    </row>
    <row r="8" customFormat="false" ht="15" hidden="false" customHeight="false" outlineLevel="0" collapsed="false">
      <c r="A8" s="13"/>
      <c r="B8" s="13"/>
      <c r="C8" s="14"/>
      <c r="D8" s="15"/>
      <c r="E8" s="13"/>
      <c r="F8" s="13"/>
      <c r="G8" s="13"/>
    </row>
    <row r="9" customFormat="false" ht="15" hidden="false" customHeight="false" outlineLevel="0" collapsed="false">
      <c r="A9" s="13"/>
      <c r="B9" s="13"/>
      <c r="C9" s="14"/>
      <c r="D9" s="15"/>
      <c r="E9" s="13"/>
      <c r="F9" s="13"/>
      <c r="G9" s="13"/>
    </row>
    <row r="10" customFormat="false" ht="15" hidden="false" customHeight="false" outlineLevel="0" collapsed="false">
      <c r="A10" s="13"/>
      <c r="B10" s="13"/>
      <c r="C10" s="14"/>
      <c r="D10" s="15"/>
      <c r="E10" s="13"/>
      <c r="F10" s="13"/>
      <c r="G10" s="13"/>
    </row>
    <row r="11" customFormat="false" ht="15" hidden="false" customHeight="false" outlineLevel="0" collapsed="false">
      <c r="A11" s="13"/>
      <c r="B11" s="13"/>
      <c r="C11" s="14"/>
      <c r="D11" s="15"/>
      <c r="E11" s="13"/>
      <c r="F11" s="13"/>
      <c r="G11" s="13"/>
    </row>
    <row r="12" customFormat="false" ht="15" hidden="false" customHeight="false" outlineLevel="0" collapsed="false">
      <c r="A12" s="13"/>
      <c r="B12" s="13"/>
      <c r="C12" s="14"/>
      <c r="D12" s="15"/>
      <c r="E12" s="13"/>
      <c r="F12" s="13"/>
      <c r="G12" s="13"/>
    </row>
    <row r="13" customFormat="false" ht="15" hidden="false" customHeight="false" outlineLevel="0" collapsed="false">
      <c r="A13" s="13"/>
      <c r="B13" s="13"/>
      <c r="C13" s="14"/>
      <c r="D13" s="15"/>
      <c r="E13" s="13"/>
      <c r="F13" s="13"/>
      <c r="G13" s="13"/>
    </row>
    <row r="14" customFormat="false" ht="15" hidden="false" customHeight="false" outlineLevel="0" collapsed="false">
      <c r="A14" s="13"/>
      <c r="B14" s="13"/>
      <c r="C14" s="14"/>
      <c r="D14" s="15"/>
      <c r="E14" s="13"/>
      <c r="F14" s="13"/>
      <c r="G14" s="13"/>
    </row>
    <row r="15" customFormat="false" ht="15" hidden="false" customHeight="false" outlineLevel="0" collapsed="false">
      <c r="A15" s="13"/>
      <c r="B15" s="13"/>
      <c r="C15" s="14"/>
      <c r="D15" s="15"/>
      <c r="E15" s="13"/>
      <c r="F15" s="13"/>
      <c r="G15" s="13"/>
    </row>
    <row r="16" customFormat="false" ht="15" hidden="false" customHeight="false" outlineLevel="0" collapsed="false">
      <c r="A16" s="13"/>
      <c r="B16" s="13"/>
      <c r="C16" s="14"/>
      <c r="D16" s="15"/>
      <c r="E16" s="13"/>
      <c r="F16" s="13"/>
      <c r="G16" s="13"/>
    </row>
    <row r="17" customFormat="false" ht="15" hidden="false" customHeight="false" outlineLevel="0" collapsed="false">
      <c r="A17" s="13"/>
      <c r="B17" s="13"/>
      <c r="C17" s="14"/>
      <c r="D17" s="15"/>
      <c r="E17" s="13"/>
      <c r="F17" s="13"/>
      <c r="G17" s="13"/>
    </row>
    <row r="18" customFormat="false" ht="15" hidden="false" customHeight="false" outlineLevel="0" collapsed="false">
      <c r="A18" s="13"/>
      <c r="B18" s="13"/>
      <c r="C18" s="14"/>
      <c r="D18" s="15"/>
      <c r="E18" s="13"/>
      <c r="F18" s="13"/>
      <c r="G18" s="13"/>
    </row>
    <row r="19" customFormat="false" ht="15" hidden="false" customHeight="false" outlineLevel="0" collapsed="false">
      <c r="A19" s="13"/>
      <c r="B19" s="13"/>
      <c r="C19" s="14"/>
      <c r="D19" s="15"/>
      <c r="E19" s="13"/>
      <c r="F19" s="13"/>
      <c r="G19" s="13"/>
    </row>
    <row r="20" customFormat="false" ht="15" hidden="false" customHeight="false" outlineLevel="0" collapsed="false">
      <c r="A20" s="13"/>
      <c r="B20" s="13"/>
      <c r="C20" s="14"/>
      <c r="D20" s="15"/>
      <c r="E20" s="13"/>
      <c r="F20" s="13"/>
      <c r="G20" s="13"/>
    </row>
    <row r="21" customFormat="false" ht="15" hidden="false" customHeight="false" outlineLevel="0" collapsed="false">
      <c r="A21" s="13"/>
      <c r="B21" s="13"/>
      <c r="C21" s="14"/>
      <c r="D21" s="15"/>
      <c r="E21" s="13"/>
      <c r="F21" s="13"/>
      <c r="G21" s="13"/>
    </row>
    <row r="22" customFormat="false" ht="15" hidden="false" customHeight="false" outlineLevel="0" collapsed="false">
      <c r="A22" s="13"/>
      <c r="B22" s="13"/>
      <c r="C22" s="14"/>
      <c r="D22" s="15"/>
      <c r="E22" s="13"/>
      <c r="F22" s="13"/>
      <c r="G22" s="13"/>
    </row>
    <row r="23" customFormat="false" ht="15" hidden="false" customHeight="false" outlineLevel="0" collapsed="false">
      <c r="A23" s="13"/>
      <c r="B23" s="13"/>
      <c r="C23" s="14"/>
      <c r="D23" s="15"/>
      <c r="E23" s="13"/>
      <c r="F23" s="13"/>
      <c r="G23" s="13"/>
    </row>
    <row r="24" customFormat="false" ht="15" hidden="false" customHeight="false" outlineLevel="0" collapsed="false">
      <c r="A24" s="13"/>
      <c r="B24" s="13"/>
      <c r="C24" s="14"/>
      <c r="D24" s="15"/>
      <c r="E24" s="13"/>
      <c r="F24" s="13"/>
      <c r="G24" s="13"/>
    </row>
    <row r="25" customFormat="false" ht="15" hidden="false" customHeight="false" outlineLevel="0" collapsed="false">
      <c r="A25" s="13"/>
      <c r="B25" s="13"/>
      <c r="C25" s="14"/>
      <c r="D25" s="15"/>
      <c r="E25" s="13"/>
      <c r="F25" s="13"/>
      <c r="G25" s="13"/>
    </row>
    <row r="26" customFormat="false" ht="15" hidden="false" customHeight="false" outlineLevel="0" collapsed="false">
      <c r="A26" s="13"/>
      <c r="B26" s="13"/>
      <c r="C26" s="14"/>
      <c r="D26" s="15"/>
      <c r="E26" s="13"/>
      <c r="F26" s="13"/>
      <c r="G26" s="13"/>
    </row>
    <row r="27" customFormat="false" ht="15" hidden="false" customHeight="false" outlineLevel="0" collapsed="false">
      <c r="A27" s="13"/>
      <c r="B27" s="13"/>
      <c r="C27" s="14"/>
      <c r="D27" s="15"/>
      <c r="E27" s="13"/>
      <c r="F27" s="13"/>
      <c r="G27" s="13"/>
    </row>
    <row r="28" customFormat="false" ht="15" hidden="false" customHeight="false" outlineLevel="0" collapsed="false">
      <c r="A28" s="13"/>
      <c r="B28" s="13"/>
      <c r="C28" s="14"/>
      <c r="D28" s="15"/>
      <c r="E28" s="13"/>
      <c r="F28" s="13"/>
      <c r="G28" s="13"/>
    </row>
    <row r="29" customFormat="false" ht="15" hidden="false" customHeight="false" outlineLevel="0" collapsed="false">
      <c r="A29" s="13"/>
      <c r="B29" s="13"/>
      <c r="C29" s="14"/>
      <c r="D29" s="15"/>
      <c r="E29" s="13"/>
      <c r="F29" s="13"/>
      <c r="G29" s="13"/>
    </row>
    <row r="30" customFormat="false" ht="15" hidden="false" customHeight="false" outlineLevel="0" collapsed="false">
      <c r="A30" s="13"/>
      <c r="B30" s="13"/>
      <c r="C30" s="14"/>
      <c r="D30" s="15"/>
      <c r="E30" s="13"/>
      <c r="F30" s="13"/>
      <c r="G30" s="13"/>
    </row>
    <row r="31" customFormat="false" ht="15" hidden="false" customHeight="false" outlineLevel="0" collapsed="false">
      <c r="A31" s="13"/>
      <c r="B31" s="13"/>
      <c r="C31" s="14"/>
      <c r="D31" s="15"/>
      <c r="E31" s="13"/>
      <c r="F31" s="13"/>
      <c r="G31" s="13"/>
    </row>
    <row r="32" customFormat="false" ht="15" hidden="false" customHeight="false" outlineLevel="0" collapsed="false">
      <c r="A32" s="13"/>
      <c r="B32" s="13"/>
      <c r="C32" s="14"/>
      <c r="D32" s="15"/>
      <c r="E32" s="13"/>
      <c r="F32" s="13"/>
      <c r="G32" s="13"/>
    </row>
    <row r="33" customFormat="false" ht="15" hidden="false" customHeight="false" outlineLevel="0" collapsed="false">
      <c r="A33" s="13"/>
      <c r="B33" s="13"/>
      <c r="C33" s="14"/>
      <c r="D33" s="15"/>
      <c r="E33" s="13"/>
      <c r="F33" s="13"/>
      <c r="G33" s="13"/>
    </row>
    <row r="34" customFormat="false" ht="15" hidden="false" customHeight="false" outlineLevel="0" collapsed="false">
      <c r="A34" s="13"/>
      <c r="B34" s="13"/>
      <c r="C34" s="14"/>
      <c r="D34" s="15"/>
      <c r="E34" s="13"/>
      <c r="F34" s="13"/>
      <c r="G34" s="13"/>
    </row>
    <row r="35" customFormat="false" ht="15" hidden="false" customHeight="false" outlineLevel="0" collapsed="false">
      <c r="A35" s="13"/>
      <c r="B35" s="13"/>
      <c r="C35" s="14"/>
      <c r="D35" s="15"/>
      <c r="E35" s="13"/>
      <c r="F35" s="13"/>
      <c r="G35" s="13"/>
    </row>
    <row r="36" customFormat="false" ht="15" hidden="false" customHeight="false" outlineLevel="0" collapsed="false">
      <c r="A36" s="13"/>
      <c r="B36" s="13"/>
      <c r="C36" s="14"/>
      <c r="D36" s="15"/>
      <c r="E36" s="13"/>
      <c r="F36" s="13"/>
      <c r="G36" s="13"/>
    </row>
    <row r="37" customFormat="false" ht="15" hidden="false" customHeight="false" outlineLevel="0" collapsed="false">
      <c r="A37" s="13"/>
      <c r="B37" s="13"/>
      <c r="C37" s="14"/>
      <c r="D37" s="15"/>
      <c r="E37" s="13"/>
      <c r="F37" s="13"/>
      <c r="G37" s="13"/>
    </row>
    <row r="38" customFormat="false" ht="15" hidden="false" customHeight="false" outlineLevel="0" collapsed="false">
      <c r="A38" s="13"/>
      <c r="B38" s="13"/>
      <c r="C38" s="14"/>
      <c r="D38" s="15"/>
      <c r="E38" s="13"/>
      <c r="F38" s="13"/>
      <c r="G38" s="13"/>
    </row>
    <row r="39" customFormat="false" ht="15" hidden="false" customHeight="false" outlineLevel="0" collapsed="false">
      <c r="A39" s="13"/>
      <c r="B39" s="13"/>
      <c r="C39" s="14"/>
      <c r="D39" s="15"/>
      <c r="E39" s="13"/>
      <c r="F39" s="13"/>
      <c r="G39" s="13"/>
    </row>
    <row r="40" customFormat="false" ht="15" hidden="false" customHeight="false" outlineLevel="0" collapsed="false">
      <c r="A40" s="13"/>
      <c r="B40" s="13"/>
      <c r="C40" s="14"/>
      <c r="D40" s="15"/>
      <c r="E40" s="13"/>
      <c r="F40" s="13"/>
      <c r="G40" s="13"/>
    </row>
    <row r="41" customFormat="false" ht="15" hidden="false" customHeight="false" outlineLevel="0" collapsed="false">
      <c r="A41" s="13"/>
      <c r="B41" s="13"/>
      <c r="C41" s="14"/>
      <c r="D41" s="15"/>
      <c r="E41" s="13"/>
      <c r="F41" s="13"/>
      <c r="G41" s="13"/>
    </row>
    <row r="42" customFormat="false" ht="15" hidden="false" customHeight="false" outlineLevel="0" collapsed="false">
      <c r="A42" s="13"/>
      <c r="B42" s="13"/>
      <c r="C42" s="14"/>
      <c r="D42" s="15"/>
      <c r="E42" s="13"/>
      <c r="F42" s="13"/>
      <c r="G42" s="13"/>
    </row>
    <row r="43" customFormat="false" ht="15" hidden="false" customHeight="false" outlineLevel="0" collapsed="false">
      <c r="A43" s="13"/>
      <c r="B43" s="13"/>
      <c r="C43" s="14"/>
      <c r="D43" s="15"/>
      <c r="E43" s="13"/>
      <c r="F43" s="13"/>
      <c r="G43" s="13"/>
    </row>
    <row r="44" customFormat="false" ht="15" hidden="false" customHeight="false" outlineLevel="0" collapsed="false">
      <c r="A44" s="13"/>
      <c r="B44" s="13"/>
      <c r="C44" s="14"/>
      <c r="D44" s="15"/>
      <c r="E44" s="13"/>
      <c r="F44" s="13"/>
      <c r="G44" s="13"/>
    </row>
    <row r="45" customFormat="false" ht="15" hidden="false" customHeight="false" outlineLevel="0" collapsed="false">
      <c r="A45" s="13"/>
      <c r="B45" s="13"/>
      <c r="C45" s="14"/>
      <c r="D45" s="15"/>
      <c r="E45" s="13"/>
      <c r="F45" s="13"/>
      <c r="G45" s="13"/>
    </row>
    <row r="46" customFormat="false" ht="15" hidden="false" customHeight="false" outlineLevel="0" collapsed="false">
      <c r="A46" s="13"/>
      <c r="B46" s="13"/>
      <c r="C46" s="14"/>
      <c r="D46" s="15"/>
      <c r="E46" s="13"/>
      <c r="F46" s="13"/>
      <c r="G46" s="13"/>
    </row>
    <row r="47" customFormat="false" ht="15" hidden="false" customHeight="false" outlineLevel="0" collapsed="false">
      <c r="A47" s="13"/>
      <c r="B47" s="13"/>
      <c r="C47" s="14"/>
      <c r="D47" s="15"/>
      <c r="E47" s="13"/>
      <c r="F47" s="13"/>
      <c r="G47" s="13"/>
    </row>
    <row r="48" customFormat="false" ht="15" hidden="false" customHeight="false" outlineLevel="0" collapsed="false">
      <c r="A48" s="13"/>
      <c r="B48" s="13"/>
      <c r="C48" s="14"/>
      <c r="D48" s="15"/>
      <c r="E48" s="13"/>
      <c r="F48" s="13"/>
      <c r="G48" s="13"/>
    </row>
    <row r="49" customFormat="false" ht="15" hidden="false" customHeight="false" outlineLevel="0" collapsed="false">
      <c r="A49" s="13"/>
      <c r="B49" s="13"/>
      <c r="C49" s="14"/>
      <c r="D49" s="15"/>
      <c r="E49" s="13"/>
      <c r="F49" s="13"/>
      <c r="G49" s="13"/>
    </row>
    <row r="50" customFormat="false" ht="15" hidden="false" customHeight="false" outlineLevel="0" collapsed="false">
      <c r="A50" s="13"/>
      <c r="B50" s="13"/>
      <c r="C50" s="14"/>
      <c r="D50" s="15"/>
      <c r="E50" s="13"/>
      <c r="F50" s="13"/>
      <c r="G50" s="13"/>
    </row>
    <row r="51" customFormat="false" ht="15" hidden="false" customHeight="false" outlineLevel="0" collapsed="false">
      <c r="A51" s="13"/>
      <c r="B51" s="13"/>
      <c r="C51" s="14"/>
      <c r="D51" s="15"/>
      <c r="E51" s="13"/>
      <c r="F51" s="13"/>
      <c r="G51" s="13"/>
    </row>
    <row r="52" customFormat="false" ht="15" hidden="false" customHeight="false" outlineLevel="0" collapsed="false">
      <c r="A52" s="13"/>
      <c r="B52" s="13"/>
      <c r="C52" s="14"/>
      <c r="D52" s="15"/>
      <c r="E52" s="13"/>
      <c r="F52" s="13"/>
      <c r="G52" s="13"/>
    </row>
    <row r="53" customFormat="false" ht="15" hidden="false" customHeight="false" outlineLevel="0" collapsed="false">
      <c r="A53" s="13"/>
      <c r="B53" s="13"/>
      <c r="C53" s="14"/>
      <c r="D53" s="15"/>
      <c r="E53" s="13"/>
      <c r="F53" s="13"/>
      <c r="G53" s="13"/>
    </row>
    <row r="54" customFormat="false" ht="15" hidden="false" customHeight="false" outlineLevel="0" collapsed="false">
      <c r="A54" s="13"/>
      <c r="B54" s="13"/>
      <c r="C54" s="14"/>
      <c r="D54" s="15"/>
      <c r="E54" s="13"/>
      <c r="F54" s="13"/>
      <c r="G54" s="13"/>
    </row>
    <row r="55" customFormat="false" ht="15" hidden="false" customHeight="false" outlineLevel="0" collapsed="false">
      <c r="A55" s="13"/>
      <c r="B55" s="13"/>
      <c r="C55" s="14"/>
      <c r="D55" s="15"/>
      <c r="E55" s="13"/>
      <c r="F55" s="13"/>
      <c r="G55" s="13"/>
    </row>
    <row r="56" customFormat="false" ht="15" hidden="false" customHeight="false" outlineLevel="0" collapsed="false">
      <c r="A56" s="13"/>
      <c r="B56" s="13"/>
      <c r="C56" s="14"/>
      <c r="D56" s="15"/>
      <c r="E56" s="13"/>
      <c r="F56" s="13"/>
      <c r="G56" s="13"/>
    </row>
    <row r="57" customFormat="false" ht="15" hidden="false" customHeight="false" outlineLevel="0" collapsed="false">
      <c r="A57" s="13"/>
      <c r="B57" s="13"/>
      <c r="C57" s="14"/>
      <c r="D57" s="15"/>
      <c r="E57" s="13"/>
      <c r="F57" s="13"/>
      <c r="G57" s="13"/>
    </row>
    <row r="58" customFormat="false" ht="15" hidden="false" customHeight="false" outlineLevel="0" collapsed="false">
      <c r="A58" s="13"/>
      <c r="B58" s="13"/>
      <c r="C58" s="14"/>
      <c r="D58" s="15"/>
      <c r="E58" s="13"/>
      <c r="F58" s="13"/>
      <c r="G58" s="13"/>
    </row>
    <row r="59" customFormat="false" ht="15" hidden="false" customHeight="false" outlineLevel="0" collapsed="false">
      <c r="A59" s="13"/>
      <c r="B59" s="13"/>
      <c r="C59" s="14"/>
      <c r="D59" s="15"/>
      <c r="E59" s="13"/>
      <c r="F59" s="13"/>
      <c r="G59" s="13"/>
    </row>
    <row r="60" customFormat="false" ht="15" hidden="false" customHeight="false" outlineLevel="0" collapsed="false">
      <c r="A60" s="13"/>
      <c r="B60" s="13"/>
      <c r="C60" s="14"/>
      <c r="D60" s="15"/>
      <c r="E60" s="13"/>
      <c r="F60" s="13"/>
      <c r="G60" s="13"/>
    </row>
    <row r="61" customFormat="false" ht="15" hidden="false" customHeight="false" outlineLevel="0" collapsed="false">
      <c r="A61" s="13"/>
      <c r="B61" s="13"/>
      <c r="C61" s="14"/>
      <c r="D61" s="15"/>
      <c r="E61" s="13"/>
      <c r="F61" s="13"/>
      <c r="G61" s="13"/>
    </row>
    <row r="62" customFormat="false" ht="15" hidden="false" customHeight="false" outlineLevel="0" collapsed="false">
      <c r="A62" s="13"/>
      <c r="B62" s="13"/>
      <c r="C62" s="14"/>
      <c r="D62" s="15"/>
      <c r="E62" s="13"/>
      <c r="F62" s="13"/>
      <c r="G62" s="13"/>
    </row>
    <row r="63" customFormat="false" ht="15" hidden="false" customHeight="false" outlineLevel="0" collapsed="false">
      <c r="A63" s="13"/>
      <c r="B63" s="13"/>
      <c r="C63" s="14"/>
      <c r="D63" s="15"/>
      <c r="E63" s="13"/>
      <c r="F63" s="13"/>
      <c r="G63" s="13"/>
    </row>
    <row r="64" customFormat="false" ht="15" hidden="false" customHeight="false" outlineLevel="0" collapsed="false">
      <c r="A64" s="13"/>
      <c r="B64" s="13"/>
      <c r="C64" s="14"/>
      <c r="D64" s="15"/>
      <c r="E64" s="13"/>
      <c r="F64" s="13"/>
      <c r="G64" s="13"/>
    </row>
    <row r="65" customFormat="false" ht="15" hidden="false" customHeight="false" outlineLevel="0" collapsed="false">
      <c r="A65" s="13"/>
      <c r="B65" s="13"/>
      <c r="C65" s="14"/>
      <c r="D65" s="15"/>
      <c r="E65" s="13"/>
      <c r="F65" s="13"/>
      <c r="G65" s="13"/>
    </row>
    <row r="66" customFormat="false" ht="15" hidden="false" customHeight="false" outlineLevel="0" collapsed="false">
      <c r="A66" s="13"/>
      <c r="B66" s="13"/>
      <c r="C66" s="14"/>
      <c r="D66" s="15"/>
      <c r="E66" s="13"/>
      <c r="F66" s="13"/>
      <c r="G66" s="13"/>
    </row>
    <row r="67" customFormat="false" ht="15" hidden="false" customHeight="false" outlineLevel="0" collapsed="false">
      <c r="A67" s="13"/>
      <c r="B67" s="13"/>
      <c r="C67" s="14"/>
      <c r="D67" s="15"/>
      <c r="E67" s="13"/>
      <c r="F67" s="13"/>
      <c r="G67" s="13"/>
    </row>
    <row r="68" customFormat="false" ht="15" hidden="false" customHeight="false" outlineLevel="0" collapsed="false">
      <c r="A68" s="13"/>
      <c r="B68" s="13"/>
      <c r="C68" s="14"/>
      <c r="D68" s="15"/>
      <c r="E68" s="13"/>
      <c r="F68" s="13"/>
      <c r="G68" s="13"/>
    </row>
    <row r="69" customFormat="false" ht="15" hidden="false" customHeight="false" outlineLevel="0" collapsed="false">
      <c r="A69" s="13"/>
      <c r="B69" s="13"/>
      <c r="C69" s="14"/>
      <c r="D69" s="15"/>
      <c r="E69" s="13"/>
      <c r="F69" s="13"/>
      <c r="G69" s="13"/>
    </row>
    <row r="70" customFormat="false" ht="15" hidden="false" customHeight="false" outlineLevel="0" collapsed="false">
      <c r="A70" s="13"/>
      <c r="B70" s="13"/>
      <c r="C70" s="14"/>
      <c r="D70" s="15"/>
      <c r="E70" s="13"/>
      <c r="F70" s="13"/>
      <c r="G70" s="13"/>
    </row>
    <row r="71" customFormat="false" ht="15" hidden="false" customHeight="false" outlineLevel="0" collapsed="false">
      <c r="A71" s="13"/>
      <c r="B71" s="13"/>
      <c r="C71" s="14"/>
      <c r="D71" s="15"/>
      <c r="E71" s="13"/>
      <c r="F71" s="13"/>
      <c r="G71" s="13"/>
    </row>
    <row r="72" customFormat="false" ht="15" hidden="false" customHeight="false" outlineLevel="0" collapsed="false">
      <c r="A72" s="13"/>
      <c r="B72" s="13"/>
      <c r="C72" s="14"/>
      <c r="D72" s="15"/>
      <c r="E72" s="13"/>
      <c r="F72" s="13"/>
      <c r="G72" s="13"/>
    </row>
    <row r="73" customFormat="false" ht="15" hidden="false" customHeight="false" outlineLevel="0" collapsed="false">
      <c r="A73" s="13"/>
      <c r="B73" s="13"/>
      <c r="C73" s="14"/>
      <c r="D73" s="15"/>
      <c r="E73" s="13"/>
      <c r="F73" s="13"/>
      <c r="G73" s="13"/>
    </row>
    <row r="74" customFormat="false" ht="15" hidden="false" customHeight="false" outlineLevel="0" collapsed="false">
      <c r="A74" s="13"/>
      <c r="B74" s="13"/>
      <c r="C74" s="14"/>
      <c r="D74" s="15"/>
      <c r="E74" s="13"/>
      <c r="F74" s="13"/>
      <c r="G74" s="13"/>
    </row>
    <row r="75" customFormat="false" ht="15" hidden="false" customHeight="false" outlineLevel="0" collapsed="false">
      <c r="A75" s="13"/>
      <c r="B75" s="13"/>
      <c r="C75" s="14"/>
      <c r="D75" s="15"/>
      <c r="E75" s="13"/>
      <c r="F75" s="13"/>
      <c r="G75" s="13"/>
    </row>
    <row r="76" customFormat="false" ht="15" hidden="false" customHeight="false" outlineLevel="0" collapsed="false">
      <c r="A76" s="13"/>
      <c r="B76" s="13"/>
      <c r="C76" s="14"/>
      <c r="D76" s="15"/>
      <c r="E76" s="13"/>
      <c r="F76" s="13"/>
      <c r="G76" s="13"/>
    </row>
    <row r="77" customFormat="false" ht="15" hidden="false" customHeight="false" outlineLevel="0" collapsed="false">
      <c r="A77" s="13"/>
      <c r="B77" s="13"/>
      <c r="C77" s="14"/>
      <c r="D77" s="15"/>
      <c r="E77" s="13"/>
      <c r="F77" s="13"/>
      <c r="G77" s="13"/>
    </row>
    <row r="78" customFormat="false" ht="15" hidden="false" customHeight="false" outlineLevel="0" collapsed="false">
      <c r="A78" s="13"/>
      <c r="B78" s="13"/>
      <c r="C78" s="14"/>
      <c r="D78" s="15"/>
      <c r="E78" s="13"/>
      <c r="F78" s="13"/>
      <c r="G78" s="13"/>
    </row>
    <row r="79" customFormat="false" ht="15" hidden="false" customHeight="false" outlineLevel="0" collapsed="false">
      <c r="A79" s="13"/>
      <c r="B79" s="13"/>
      <c r="C79" s="14"/>
      <c r="D79" s="15"/>
      <c r="E79" s="13"/>
      <c r="F79" s="13"/>
      <c r="G79" s="13"/>
    </row>
    <row r="80" customFormat="false" ht="15" hidden="false" customHeight="false" outlineLevel="0" collapsed="false">
      <c r="A80" s="13"/>
      <c r="B80" s="13"/>
      <c r="C80" s="14"/>
      <c r="D80" s="15"/>
      <c r="E80" s="13"/>
      <c r="F80" s="13"/>
      <c r="G80" s="13"/>
    </row>
    <row r="81" customFormat="false" ht="15" hidden="false" customHeight="false" outlineLevel="0" collapsed="false">
      <c r="A81" s="13"/>
      <c r="B81" s="13"/>
      <c r="C81" s="14"/>
      <c r="D81" s="15"/>
      <c r="E81" s="13"/>
      <c r="F81" s="13"/>
      <c r="G81" s="13"/>
    </row>
    <row r="82" customFormat="false" ht="15" hidden="false" customHeight="false" outlineLevel="0" collapsed="false">
      <c r="A82" s="13"/>
      <c r="B82" s="13"/>
      <c r="C82" s="14"/>
      <c r="D82" s="15"/>
      <c r="E82" s="13"/>
      <c r="F82" s="13"/>
      <c r="G82" s="13"/>
    </row>
    <row r="83" customFormat="false" ht="15" hidden="false" customHeight="false" outlineLevel="0" collapsed="false">
      <c r="A83" s="13"/>
      <c r="B83" s="13"/>
      <c r="C83" s="14"/>
      <c r="D83" s="15"/>
      <c r="E83" s="13"/>
      <c r="F83" s="13"/>
      <c r="G83" s="13"/>
    </row>
    <row r="84" customFormat="false" ht="15" hidden="false" customHeight="false" outlineLevel="0" collapsed="false">
      <c r="A84" s="13"/>
      <c r="B84" s="13"/>
      <c r="C84" s="14"/>
      <c r="D84" s="15"/>
      <c r="E84" s="13"/>
      <c r="F84" s="13"/>
      <c r="G84" s="13"/>
    </row>
    <row r="85" customFormat="false" ht="15" hidden="false" customHeight="false" outlineLevel="0" collapsed="false">
      <c r="A85" s="13"/>
      <c r="B85" s="13"/>
      <c r="C85" s="14"/>
      <c r="D85" s="15"/>
      <c r="E85" s="13"/>
      <c r="F85" s="13"/>
      <c r="G85" s="13"/>
    </row>
    <row r="86" customFormat="false" ht="15" hidden="false" customHeight="false" outlineLevel="0" collapsed="false">
      <c r="A86" s="13"/>
      <c r="B86" s="13"/>
      <c r="C86" s="14"/>
      <c r="D86" s="15"/>
      <c r="E86" s="13"/>
      <c r="F86" s="13"/>
      <c r="G86" s="13"/>
    </row>
    <row r="87" customFormat="false" ht="15" hidden="false" customHeight="false" outlineLevel="0" collapsed="false">
      <c r="A87" s="13"/>
      <c r="B87" s="13"/>
      <c r="C87" s="14"/>
      <c r="D87" s="15"/>
      <c r="E87" s="13"/>
      <c r="F87" s="13"/>
      <c r="G87" s="13"/>
    </row>
    <row r="88" customFormat="false" ht="15" hidden="false" customHeight="false" outlineLevel="0" collapsed="false">
      <c r="A88" s="13"/>
      <c r="B88" s="13"/>
      <c r="C88" s="14"/>
      <c r="D88" s="15"/>
      <c r="E88" s="13"/>
      <c r="F88" s="13"/>
      <c r="G88" s="13"/>
    </row>
    <row r="89" customFormat="false" ht="15" hidden="false" customHeight="false" outlineLevel="0" collapsed="false">
      <c r="A89" s="13"/>
      <c r="B89" s="13"/>
      <c r="C89" s="14"/>
      <c r="D89" s="15"/>
      <c r="E89" s="13"/>
      <c r="F89" s="13"/>
      <c r="G89" s="13"/>
    </row>
    <row r="90" customFormat="false" ht="15" hidden="false" customHeight="false" outlineLevel="0" collapsed="false">
      <c r="A90" s="13"/>
      <c r="B90" s="13"/>
      <c r="C90" s="14"/>
      <c r="D90" s="15"/>
      <c r="E90" s="13"/>
      <c r="F90" s="13"/>
      <c r="G90" s="13"/>
    </row>
    <row r="91" customFormat="false" ht="15" hidden="false" customHeight="false" outlineLevel="0" collapsed="false">
      <c r="A91" s="13"/>
      <c r="B91" s="13"/>
      <c r="C91" s="14"/>
      <c r="D91" s="15"/>
      <c r="E91" s="13"/>
      <c r="F91" s="13"/>
      <c r="G91" s="13"/>
    </row>
    <row r="92" customFormat="false" ht="15" hidden="false" customHeight="false" outlineLevel="0" collapsed="false">
      <c r="A92" s="13"/>
      <c r="B92" s="13"/>
      <c r="C92" s="14"/>
      <c r="D92" s="15"/>
      <c r="E92" s="13"/>
      <c r="F92" s="13"/>
      <c r="G92" s="13"/>
    </row>
    <row r="93" customFormat="false" ht="15" hidden="false" customHeight="false" outlineLevel="0" collapsed="false">
      <c r="A93" s="13"/>
      <c r="B93" s="13"/>
      <c r="C93" s="14"/>
      <c r="D93" s="15"/>
      <c r="E93" s="13"/>
      <c r="F93" s="13"/>
      <c r="G93" s="13"/>
    </row>
    <row r="94" customFormat="false" ht="15" hidden="false" customHeight="false" outlineLevel="0" collapsed="false">
      <c r="A94" s="13"/>
      <c r="B94" s="13"/>
      <c r="C94" s="14"/>
      <c r="D94" s="15"/>
      <c r="E94" s="13"/>
      <c r="F94" s="13"/>
      <c r="G94" s="13"/>
    </row>
    <row r="95" customFormat="false" ht="15" hidden="false" customHeight="false" outlineLevel="0" collapsed="false">
      <c r="A95" s="13"/>
      <c r="B95" s="13"/>
      <c r="C95" s="14"/>
      <c r="D95" s="15"/>
      <c r="E95" s="13"/>
      <c r="F95" s="13"/>
      <c r="G95" s="13"/>
    </row>
    <row r="96" customFormat="false" ht="15" hidden="false" customHeight="false" outlineLevel="0" collapsed="false">
      <c r="A96" s="13"/>
      <c r="B96" s="13"/>
      <c r="C96" s="14"/>
      <c r="D96" s="15"/>
      <c r="E96" s="13"/>
      <c r="F96" s="13"/>
      <c r="G96" s="13"/>
    </row>
    <row r="97" customFormat="false" ht="15" hidden="false" customHeight="false" outlineLevel="0" collapsed="false">
      <c r="A97" s="13"/>
      <c r="B97" s="13"/>
      <c r="C97" s="14"/>
      <c r="D97" s="15"/>
      <c r="E97" s="13"/>
      <c r="F97" s="13"/>
      <c r="G97" s="13"/>
    </row>
    <row r="98" customFormat="false" ht="15" hidden="false" customHeight="false" outlineLevel="0" collapsed="false">
      <c r="A98" s="13"/>
      <c r="B98" s="13"/>
      <c r="C98" s="14"/>
      <c r="D98" s="15"/>
      <c r="E98" s="13"/>
      <c r="F98" s="13"/>
      <c r="G98" s="13"/>
    </row>
    <row r="99" customFormat="false" ht="15" hidden="false" customHeight="false" outlineLevel="0" collapsed="false">
      <c r="A99" s="13"/>
      <c r="B99" s="13"/>
      <c r="C99" s="14"/>
      <c r="D99" s="15"/>
      <c r="E99" s="13"/>
      <c r="F99" s="13"/>
      <c r="G99" s="13"/>
    </row>
    <row r="100" customFormat="false" ht="15" hidden="false" customHeight="false" outlineLevel="0" collapsed="false">
      <c r="A100" s="13"/>
      <c r="B100" s="13"/>
      <c r="C100" s="14"/>
      <c r="D100" s="15"/>
      <c r="E100" s="13"/>
      <c r="F100" s="13"/>
      <c r="G100" s="13"/>
    </row>
    <row r="101" customFormat="false" ht="15" hidden="false" customHeight="false" outlineLevel="0" collapsed="false">
      <c r="A101" s="13"/>
      <c r="B101" s="13"/>
      <c r="C101" s="14"/>
      <c r="D101" s="15"/>
      <c r="E101" s="13"/>
      <c r="F101" s="13"/>
      <c r="G101" s="13"/>
    </row>
    <row r="102" customFormat="false" ht="15" hidden="false" customHeight="false" outlineLevel="0" collapsed="false">
      <c r="A102" s="13"/>
      <c r="B102" s="13"/>
      <c r="C102" s="14"/>
      <c r="D102" s="15"/>
      <c r="E102" s="13"/>
      <c r="F102" s="13"/>
      <c r="G102" s="13"/>
    </row>
    <row r="103" customFormat="false" ht="15" hidden="false" customHeight="false" outlineLevel="0" collapsed="false">
      <c r="A103" s="13"/>
      <c r="B103" s="13"/>
      <c r="C103" s="14"/>
      <c r="D103" s="15"/>
      <c r="E103" s="13"/>
      <c r="F103" s="13"/>
      <c r="G103" s="13"/>
    </row>
    <row r="104" customFormat="false" ht="15" hidden="false" customHeight="false" outlineLevel="0" collapsed="false">
      <c r="A104" s="13"/>
      <c r="B104" s="13"/>
      <c r="C104" s="14"/>
      <c r="D104" s="15"/>
      <c r="E104" s="13"/>
      <c r="F104" s="13"/>
      <c r="G104" s="13"/>
    </row>
    <row r="105" customFormat="false" ht="15" hidden="false" customHeight="false" outlineLevel="0" collapsed="false">
      <c r="A105" s="13"/>
      <c r="B105" s="13"/>
      <c r="C105" s="14"/>
      <c r="D105" s="15"/>
      <c r="E105" s="13"/>
      <c r="F105" s="13"/>
      <c r="G105" s="13"/>
    </row>
    <row r="106" customFormat="false" ht="15" hidden="false" customHeight="false" outlineLevel="0" collapsed="false">
      <c r="A106" s="13"/>
      <c r="B106" s="13"/>
      <c r="C106" s="14"/>
      <c r="D106" s="15"/>
      <c r="E106" s="13"/>
      <c r="F106" s="13"/>
      <c r="G106" s="13"/>
    </row>
    <row r="107" customFormat="false" ht="15" hidden="false" customHeight="false" outlineLevel="0" collapsed="false">
      <c r="A107" s="13"/>
      <c r="B107" s="13"/>
      <c r="C107" s="14"/>
      <c r="D107" s="15"/>
      <c r="E107" s="13"/>
      <c r="F107" s="13"/>
      <c r="G107" s="13"/>
    </row>
    <row r="108" customFormat="false" ht="15" hidden="false" customHeight="false" outlineLevel="0" collapsed="false">
      <c r="A108" s="13"/>
      <c r="B108" s="13"/>
      <c r="C108" s="14"/>
      <c r="D108" s="15"/>
      <c r="E108" s="13"/>
      <c r="F108" s="13"/>
      <c r="G108" s="13"/>
    </row>
    <row r="109" customFormat="false" ht="15" hidden="false" customHeight="false" outlineLevel="0" collapsed="false">
      <c r="A109" s="13"/>
      <c r="B109" s="13"/>
      <c r="C109" s="14"/>
      <c r="D109" s="15"/>
      <c r="E109" s="13"/>
      <c r="F109" s="13"/>
      <c r="G109" s="13"/>
    </row>
    <row r="110" customFormat="false" ht="15" hidden="false" customHeight="false" outlineLevel="0" collapsed="false">
      <c r="A110" s="13"/>
      <c r="B110" s="13"/>
      <c r="C110" s="14"/>
      <c r="D110" s="15"/>
      <c r="E110" s="13"/>
      <c r="F110" s="13"/>
      <c r="G110" s="13"/>
    </row>
    <row r="111" customFormat="false" ht="15" hidden="false" customHeight="false" outlineLevel="0" collapsed="false">
      <c r="A111" s="13"/>
      <c r="B111" s="13"/>
      <c r="C111" s="14"/>
      <c r="D111" s="15"/>
      <c r="E111" s="13"/>
      <c r="F111" s="13"/>
      <c r="G111" s="13"/>
    </row>
    <row r="112" customFormat="false" ht="15" hidden="false" customHeight="false" outlineLevel="0" collapsed="false">
      <c r="A112" s="13"/>
      <c r="B112" s="13"/>
      <c r="C112" s="14"/>
      <c r="D112" s="15"/>
      <c r="E112" s="13"/>
      <c r="F112" s="13"/>
      <c r="G112" s="13"/>
    </row>
    <row r="113" customFormat="false" ht="15" hidden="false" customHeight="false" outlineLevel="0" collapsed="false">
      <c r="A113" s="13"/>
      <c r="B113" s="13"/>
      <c r="C113" s="14"/>
      <c r="D113" s="15"/>
      <c r="E113" s="13"/>
      <c r="F113" s="13"/>
      <c r="G113" s="13"/>
    </row>
    <row r="114" customFormat="false" ht="15" hidden="false" customHeight="false" outlineLevel="0" collapsed="false">
      <c r="A114" s="13"/>
      <c r="B114" s="13"/>
      <c r="C114" s="14"/>
      <c r="D114" s="15"/>
      <c r="E114" s="13"/>
      <c r="F114" s="13"/>
      <c r="G114" s="13"/>
    </row>
    <row r="115" customFormat="false" ht="15" hidden="false" customHeight="false" outlineLevel="0" collapsed="false">
      <c r="A115" s="13"/>
      <c r="B115" s="13"/>
      <c r="C115" s="14"/>
      <c r="D115" s="15"/>
      <c r="E115" s="13"/>
      <c r="F115" s="13"/>
      <c r="G115" s="13"/>
    </row>
    <row r="116" customFormat="false" ht="15" hidden="false" customHeight="false" outlineLevel="0" collapsed="false">
      <c r="A116" s="13"/>
      <c r="B116" s="13"/>
      <c r="C116" s="14"/>
      <c r="D116" s="15"/>
      <c r="E116" s="13"/>
      <c r="F116" s="13"/>
      <c r="G116" s="13"/>
    </row>
    <row r="117" customFormat="false" ht="15" hidden="false" customHeight="false" outlineLevel="0" collapsed="false">
      <c r="A117" s="13"/>
      <c r="B117" s="13"/>
      <c r="C117" s="14"/>
      <c r="D117" s="15"/>
      <c r="E117" s="13"/>
      <c r="F117" s="13"/>
      <c r="G117" s="13"/>
    </row>
    <row r="118" customFormat="false" ht="15" hidden="false" customHeight="false" outlineLevel="0" collapsed="false">
      <c r="A118" s="13"/>
      <c r="B118" s="13"/>
      <c r="C118" s="14"/>
      <c r="D118" s="15"/>
      <c r="E118" s="13"/>
      <c r="F118" s="13"/>
      <c r="G118" s="13"/>
    </row>
    <row r="119" customFormat="false" ht="15" hidden="false" customHeight="false" outlineLevel="0" collapsed="false">
      <c r="A119" s="13"/>
      <c r="B119" s="13"/>
      <c r="C119" s="14"/>
      <c r="D119" s="15"/>
      <c r="E119" s="13"/>
      <c r="F119" s="13"/>
      <c r="G119" s="13"/>
    </row>
    <row r="120" customFormat="false" ht="15" hidden="false" customHeight="false" outlineLevel="0" collapsed="false">
      <c r="A120" s="13"/>
      <c r="B120" s="13"/>
      <c r="C120" s="14"/>
      <c r="D120" s="15"/>
      <c r="E120" s="13"/>
      <c r="F120" s="13"/>
      <c r="G120" s="13"/>
    </row>
    <row r="121" customFormat="false" ht="15" hidden="false" customHeight="false" outlineLevel="0" collapsed="false">
      <c r="A121" s="13"/>
      <c r="B121" s="13"/>
      <c r="C121" s="14"/>
      <c r="D121" s="15"/>
      <c r="E121" s="13"/>
      <c r="F121" s="13"/>
      <c r="G121" s="13"/>
    </row>
    <row r="122" customFormat="false" ht="15" hidden="false" customHeight="false" outlineLevel="0" collapsed="false">
      <c r="A122" s="13"/>
      <c r="B122" s="13"/>
      <c r="C122" s="14"/>
      <c r="D122" s="15"/>
      <c r="E122" s="13"/>
      <c r="F122" s="13"/>
      <c r="G122" s="13"/>
    </row>
    <row r="123" customFormat="false" ht="15" hidden="false" customHeight="false" outlineLevel="0" collapsed="false">
      <c r="A123" s="13"/>
      <c r="B123" s="13"/>
      <c r="C123" s="14"/>
      <c r="D123" s="15"/>
      <c r="E123" s="13"/>
      <c r="F123" s="13"/>
      <c r="G123" s="13"/>
    </row>
    <row r="124" customFormat="false" ht="15" hidden="false" customHeight="false" outlineLevel="0" collapsed="false">
      <c r="A124" s="13"/>
      <c r="B124" s="13"/>
      <c r="C124" s="14"/>
      <c r="D124" s="15"/>
      <c r="E124" s="13"/>
      <c r="F124" s="13"/>
      <c r="G124" s="13"/>
    </row>
    <row r="125" customFormat="false" ht="15" hidden="false" customHeight="false" outlineLevel="0" collapsed="false">
      <c r="A125" s="13"/>
      <c r="B125" s="13"/>
      <c r="C125" s="14"/>
      <c r="D125" s="15"/>
      <c r="E125" s="13"/>
      <c r="F125" s="13"/>
      <c r="G125" s="13"/>
    </row>
    <row r="126" customFormat="false" ht="15" hidden="false" customHeight="false" outlineLevel="0" collapsed="false">
      <c r="A126" s="13"/>
      <c r="B126" s="13"/>
      <c r="C126" s="14"/>
      <c r="D126" s="15"/>
      <c r="E126" s="13"/>
      <c r="F126" s="13"/>
      <c r="G126" s="13"/>
    </row>
    <row r="127" customFormat="false" ht="15" hidden="false" customHeight="false" outlineLevel="0" collapsed="false">
      <c r="A127" s="13"/>
      <c r="B127" s="13"/>
      <c r="C127" s="14"/>
      <c r="D127" s="15"/>
      <c r="E127" s="13"/>
      <c r="F127" s="13"/>
      <c r="G127" s="13"/>
    </row>
    <row r="128" customFormat="false" ht="15" hidden="false" customHeight="false" outlineLevel="0" collapsed="false">
      <c r="A128" s="13"/>
      <c r="B128" s="13"/>
      <c r="C128" s="14"/>
      <c r="D128" s="15"/>
      <c r="E128" s="13"/>
      <c r="F128" s="13"/>
      <c r="G128" s="13"/>
    </row>
    <row r="129" customFormat="false" ht="15" hidden="false" customHeight="false" outlineLevel="0" collapsed="false">
      <c r="A129" s="13"/>
      <c r="B129" s="13"/>
      <c r="C129" s="14"/>
      <c r="D129" s="15"/>
      <c r="E129" s="13"/>
      <c r="F129" s="13"/>
      <c r="G129" s="13"/>
    </row>
    <row r="130" customFormat="false" ht="15" hidden="false" customHeight="false" outlineLevel="0" collapsed="false">
      <c r="A130" s="13"/>
      <c r="B130" s="13"/>
      <c r="C130" s="14"/>
      <c r="D130" s="15"/>
      <c r="E130" s="13"/>
      <c r="F130" s="13"/>
      <c r="G130" s="13"/>
    </row>
    <row r="131" customFormat="false" ht="15" hidden="false" customHeight="false" outlineLevel="0" collapsed="false">
      <c r="A131" s="13"/>
      <c r="B131" s="13"/>
      <c r="C131" s="14"/>
      <c r="D131" s="15"/>
      <c r="E131" s="13"/>
      <c r="F131" s="13"/>
      <c r="G131" s="13"/>
    </row>
    <row r="132" customFormat="false" ht="15" hidden="false" customHeight="false" outlineLevel="0" collapsed="false">
      <c r="A132" s="13"/>
      <c r="B132" s="13"/>
      <c r="C132" s="14"/>
      <c r="D132" s="15"/>
      <c r="E132" s="13"/>
      <c r="F132" s="13"/>
      <c r="G132" s="13"/>
    </row>
    <row r="133" customFormat="false" ht="15" hidden="false" customHeight="false" outlineLevel="0" collapsed="false">
      <c r="A133" s="13"/>
      <c r="B133" s="13"/>
      <c r="C133" s="14"/>
      <c r="D133" s="15"/>
      <c r="E133" s="13"/>
      <c r="F133" s="13"/>
      <c r="G133" s="13"/>
    </row>
    <row r="134" customFormat="false" ht="15" hidden="false" customHeight="false" outlineLevel="0" collapsed="false">
      <c r="A134" s="13"/>
      <c r="B134" s="13"/>
      <c r="C134" s="14"/>
      <c r="D134" s="15"/>
      <c r="E134" s="13"/>
      <c r="F134" s="13"/>
      <c r="G134" s="13"/>
    </row>
    <row r="135" customFormat="false" ht="15" hidden="false" customHeight="false" outlineLevel="0" collapsed="false">
      <c r="A135" s="13"/>
      <c r="B135" s="13"/>
      <c r="C135" s="14"/>
      <c r="D135" s="15"/>
      <c r="E135" s="13"/>
      <c r="F135" s="13"/>
      <c r="G135" s="13"/>
    </row>
    <row r="136" customFormat="false" ht="15" hidden="false" customHeight="false" outlineLevel="0" collapsed="false">
      <c r="A136" s="13"/>
      <c r="B136" s="13"/>
      <c r="C136" s="14"/>
      <c r="D136" s="15"/>
      <c r="E136" s="13"/>
      <c r="F136" s="13"/>
      <c r="G136" s="13"/>
    </row>
    <row r="137" customFormat="false" ht="15" hidden="false" customHeight="false" outlineLevel="0" collapsed="false">
      <c r="A137" s="13"/>
      <c r="B137" s="13"/>
      <c r="C137" s="14"/>
      <c r="D137" s="15"/>
      <c r="E137" s="13"/>
      <c r="F137" s="13"/>
      <c r="G137" s="13"/>
    </row>
    <row r="138" customFormat="false" ht="15" hidden="false" customHeight="false" outlineLevel="0" collapsed="false">
      <c r="A138" s="13"/>
      <c r="B138" s="13"/>
      <c r="C138" s="14"/>
      <c r="D138" s="15"/>
      <c r="E138" s="13"/>
      <c r="F138" s="13"/>
      <c r="G138" s="13"/>
    </row>
    <row r="139" customFormat="false" ht="15" hidden="false" customHeight="false" outlineLevel="0" collapsed="false">
      <c r="A139" s="13"/>
      <c r="B139" s="13"/>
      <c r="C139" s="14"/>
      <c r="D139" s="15"/>
      <c r="E139" s="13"/>
      <c r="F139" s="13"/>
      <c r="G139" s="13"/>
    </row>
    <row r="140" customFormat="false" ht="15" hidden="false" customHeight="false" outlineLevel="0" collapsed="false">
      <c r="A140" s="13"/>
      <c r="B140" s="13"/>
      <c r="C140" s="14"/>
      <c r="D140" s="15"/>
      <c r="E140" s="13"/>
      <c r="F140" s="13"/>
      <c r="G140" s="13"/>
    </row>
    <row r="141" customFormat="false" ht="15" hidden="false" customHeight="false" outlineLevel="0" collapsed="false">
      <c r="A141" s="13"/>
      <c r="B141" s="13"/>
      <c r="C141" s="14"/>
      <c r="D141" s="15"/>
      <c r="E141" s="13"/>
      <c r="F141" s="13"/>
      <c r="G141" s="13"/>
    </row>
    <row r="142" customFormat="false" ht="15" hidden="false" customHeight="false" outlineLevel="0" collapsed="false">
      <c r="A142" s="13"/>
      <c r="B142" s="13"/>
      <c r="C142" s="14"/>
      <c r="D142" s="15"/>
      <c r="E142" s="13"/>
      <c r="F142" s="13"/>
      <c r="G142" s="13"/>
    </row>
    <row r="143" customFormat="false" ht="15" hidden="false" customHeight="false" outlineLevel="0" collapsed="false">
      <c r="A143" s="13"/>
      <c r="B143" s="13"/>
      <c r="C143" s="14"/>
      <c r="D143" s="15"/>
      <c r="E143" s="13"/>
      <c r="F143" s="13"/>
      <c r="G143" s="13"/>
    </row>
    <row r="144" customFormat="false" ht="15" hidden="false" customHeight="false" outlineLevel="0" collapsed="false">
      <c r="A144" s="13"/>
      <c r="B144" s="13"/>
      <c r="C144" s="14"/>
      <c r="D144" s="15"/>
      <c r="E144" s="13"/>
      <c r="F144" s="13"/>
      <c r="G144" s="13"/>
    </row>
    <row r="145" customFormat="false" ht="15" hidden="false" customHeight="false" outlineLevel="0" collapsed="false">
      <c r="A145" s="13"/>
      <c r="B145" s="13"/>
      <c r="C145" s="14"/>
      <c r="D145" s="15"/>
      <c r="E145" s="13"/>
      <c r="F145" s="13"/>
      <c r="G145" s="13"/>
    </row>
    <row r="146" customFormat="false" ht="15" hidden="false" customHeight="false" outlineLevel="0" collapsed="false">
      <c r="A146" s="13"/>
      <c r="B146" s="13"/>
      <c r="C146" s="14"/>
      <c r="D146" s="15"/>
      <c r="E146" s="13"/>
      <c r="F146" s="13"/>
      <c r="G146" s="13"/>
    </row>
    <row r="147" customFormat="false" ht="15" hidden="false" customHeight="false" outlineLevel="0" collapsed="false">
      <c r="A147" s="13"/>
      <c r="B147" s="13"/>
      <c r="C147" s="14"/>
      <c r="D147" s="15"/>
      <c r="E147" s="13"/>
      <c r="F147" s="13"/>
      <c r="G147" s="13"/>
    </row>
    <row r="148" customFormat="false" ht="15" hidden="false" customHeight="false" outlineLevel="0" collapsed="false">
      <c r="A148" s="13"/>
      <c r="B148" s="13"/>
      <c r="C148" s="14"/>
      <c r="D148" s="15"/>
      <c r="E148" s="13"/>
      <c r="F148" s="13"/>
      <c r="G148" s="13"/>
    </row>
    <row r="149" customFormat="false" ht="15" hidden="false" customHeight="false" outlineLevel="0" collapsed="false">
      <c r="A149" s="13"/>
      <c r="B149" s="13"/>
      <c r="C149" s="14"/>
      <c r="D149" s="15"/>
      <c r="E149" s="13"/>
      <c r="F149" s="13"/>
      <c r="G149" s="13"/>
    </row>
    <row r="150" customFormat="false" ht="15" hidden="false" customHeight="false" outlineLevel="0" collapsed="false">
      <c r="A150" s="13"/>
      <c r="B150" s="13"/>
      <c r="C150" s="14"/>
      <c r="D150" s="15"/>
      <c r="E150" s="13"/>
      <c r="F150" s="13"/>
      <c r="G150" s="13"/>
    </row>
    <row r="151" customFormat="false" ht="15" hidden="false" customHeight="false" outlineLevel="0" collapsed="false">
      <c r="A151" s="13"/>
      <c r="B151" s="13"/>
      <c r="C151" s="14"/>
      <c r="D151" s="15"/>
      <c r="E151" s="13"/>
      <c r="F151" s="13"/>
      <c r="G151" s="13"/>
    </row>
    <row r="152" customFormat="false" ht="15" hidden="false" customHeight="false" outlineLevel="0" collapsed="false">
      <c r="A152" s="13"/>
      <c r="B152" s="13"/>
      <c r="C152" s="14"/>
      <c r="D152" s="15"/>
      <c r="E152" s="13"/>
      <c r="F152" s="13"/>
      <c r="G152" s="13"/>
    </row>
    <row r="153" customFormat="false" ht="15" hidden="false" customHeight="false" outlineLevel="0" collapsed="false">
      <c r="A153" s="13"/>
      <c r="B153" s="13"/>
      <c r="C153" s="14"/>
      <c r="D153" s="15"/>
      <c r="E153" s="13"/>
      <c r="F153" s="13"/>
      <c r="G153" s="13"/>
    </row>
    <row r="154" customFormat="false" ht="15" hidden="false" customHeight="false" outlineLevel="0" collapsed="false">
      <c r="A154" s="13"/>
      <c r="B154" s="13"/>
      <c r="C154" s="14"/>
      <c r="D154" s="15"/>
      <c r="E154" s="13"/>
      <c r="F154" s="13"/>
      <c r="G154" s="13"/>
    </row>
    <row r="155" customFormat="false" ht="15" hidden="false" customHeight="false" outlineLevel="0" collapsed="false">
      <c r="A155" s="13"/>
      <c r="B155" s="13"/>
      <c r="C155" s="14"/>
      <c r="D155" s="15"/>
      <c r="E155" s="13"/>
      <c r="F155" s="13"/>
      <c r="G155" s="13"/>
    </row>
    <row r="156" customFormat="false" ht="15" hidden="false" customHeight="false" outlineLevel="0" collapsed="false">
      <c r="A156" s="13"/>
      <c r="B156" s="13"/>
      <c r="C156" s="14"/>
      <c r="D156" s="15"/>
      <c r="E156" s="13"/>
      <c r="F156" s="13"/>
      <c r="G156" s="13"/>
    </row>
    <row r="157" customFormat="false" ht="15" hidden="false" customHeight="false" outlineLevel="0" collapsed="false">
      <c r="A157" s="13"/>
      <c r="B157" s="13"/>
      <c r="C157" s="14"/>
      <c r="D157" s="15"/>
      <c r="E157" s="13"/>
      <c r="F157" s="13"/>
      <c r="G157" s="13"/>
    </row>
    <row r="158" customFormat="false" ht="15" hidden="false" customHeight="false" outlineLevel="0" collapsed="false">
      <c r="A158" s="13"/>
      <c r="B158" s="13"/>
      <c r="C158" s="14"/>
      <c r="D158" s="15"/>
      <c r="E158" s="13"/>
      <c r="F158" s="13"/>
      <c r="G158" s="13"/>
    </row>
    <row r="159" customFormat="false" ht="15" hidden="false" customHeight="false" outlineLevel="0" collapsed="false">
      <c r="A159" s="13"/>
      <c r="B159" s="13"/>
      <c r="C159" s="14"/>
      <c r="D159" s="15"/>
      <c r="E159" s="13"/>
      <c r="F159" s="13"/>
      <c r="G159" s="13"/>
    </row>
    <row r="160" customFormat="false" ht="15" hidden="false" customHeight="false" outlineLevel="0" collapsed="false">
      <c r="A160" s="13"/>
      <c r="B160" s="13"/>
      <c r="C160" s="14"/>
      <c r="D160" s="15"/>
      <c r="E160" s="13"/>
      <c r="F160" s="13"/>
      <c r="G160" s="13"/>
    </row>
    <row r="161" customFormat="false" ht="15" hidden="false" customHeight="false" outlineLevel="0" collapsed="false">
      <c r="A161" s="13"/>
      <c r="B161" s="13"/>
      <c r="C161" s="14"/>
      <c r="D161" s="15"/>
      <c r="E161" s="13"/>
      <c r="F161" s="13"/>
      <c r="G161" s="13"/>
    </row>
    <row r="162" customFormat="false" ht="15" hidden="false" customHeight="false" outlineLevel="0" collapsed="false">
      <c r="A162" s="13"/>
      <c r="B162" s="13"/>
      <c r="C162" s="14"/>
      <c r="D162" s="15"/>
      <c r="E162" s="13"/>
      <c r="F162" s="13"/>
      <c r="G162" s="13"/>
    </row>
    <row r="163" customFormat="false" ht="15" hidden="false" customHeight="false" outlineLevel="0" collapsed="false">
      <c r="A163" s="13"/>
      <c r="B163" s="13"/>
      <c r="C163" s="14"/>
      <c r="D163" s="15"/>
      <c r="E163" s="13"/>
      <c r="F163" s="13"/>
      <c r="G163" s="13"/>
    </row>
    <row r="164" customFormat="false" ht="15" hidden="false" customHeight="false" outlineLevel="0" collapsed="false">
      <c r="A164" s="13"/>
      <c r="B164" s="13"/>
      <c r="C164" s="14"/>
      <c r="D164" s="15"/>
      <c r="E164" s="13"/>
      <c r="F164" s="13"/>
      <c r="G164" s="13"/>
    </row>
    <row r="165" customFormat="false" ht="15" hidden="false" customHeight="false" outlineLevel="0" collapsed="false">
      <c r="A165" s="13"/>
      <c r="B165" s="13"/>
      <c r="C165" s="14"/>
      <c r="D165" s="15"/>
      <c r="E165" s="13"/>
      <c r="F165" s="13"/>
      <c r="G165" s="13"/>
    </row>
    <row r="166" customFormat="false" ht="15" hidden="false" customHeight="false" outlineLevel="0" collapsed="false">
      <c r="A166" s="13"/>
      <c r="B166" s="13"/>
      <c r="C166" s="14"/>
      <c r="D166" s="15"/>
      <c r="E166" s="13"/>
      <c r="F166" s="13"/>
      <c r="G166" s="13"/>
    </row>
    <row r="167" customFormat="false" ht="15" hidden="false" customHeight="false" outlineLevel="0" collapsed="false">
      <c r="A167" s="13"/>
      <c r="B167" s="13"/>
      <c r="C167" s="14"/>
      <c r="D167" s="15"/>
      <c r="E167" s="13"/>
      <c r="F167" s="13"/>
      <c r="G167" s="13"/>
    </row>
    <row r="168" customFormat="false" ht="15" hidden="false" customHeight="false" outlineLevel="0" collapsed="false">
      <c r="A168" s="13"/>
      <c r="B168" s="13"/>
      <c r="C168" s="14"/>
      <c r="D168" s="15"/>
      <c r="E168" s="13"/>
      <c r="F168" s="13"/>
      <c r="G168" s="13"/>
    </row>
    <row r="169" customFormat="false" ht="15" hidden="false" customHeight="false" outlineLevel="0" collapsed="false">
      <c r="A169" s="13"/>
      <c r="B169" s="13"/>
      <c r="C169" s="14"/>
      <c r="D169" s="15"/>
      <c r="E169" s="13"/>
      <c r="F169" s="13"/>
      <c r="G169" s="13"/>
    </row>
    <row r="170" customFormat="false" ht="15" hidden="false" customHeight="false" outlineLevel="0" collapsed="false">
      <c r="A170" s="13"/>
      <c r="B170" s="13"/>
      <c r="C170" s="14"/>
      <c r="D170" s="15"/>
      <c r="E170" s="13"/>
      <c r="F170" s="13"/>
      <c r="G170" s="13"/>
    </row>
    <row r="171" customFormat="false" ht="15" hidden="false" customHeight="false" outlineLevel="0" collapsed="false">
      <c r="A171" s="13"/>
      <c r="B171" s="13"/>
      <c r="C171" s="14"/>
      <c r="D171" s="15"/>
      <c r="E171" s="13"/>
      <c r="F171" s="13"/>
      <c r="G171" s="13"/>
    </row>
    <row r="172" customFormat="false" ht="15" hidden="false" customHeight="false" outlineLevel="0" collapsed="false">
      <c r="A172" s="13"/>
      <c r="B172" s="13"/>
      <c r="C172" s="14"/>
      <c r="D172" s="15"/>
      <c r="E172" s="13"/>
      <c r="F172" s="13"/>
      <c r="G172" s="13"/>
    </row>
    <row r="173" customFormat="false" ht="15" hidden="false" customHeight="false" outlineLevel="0" collapsed="false">
      <c r="A173" s="13"/>
      <c r="B173" s="13"/>
      <c r="C173" s="14"/>
      <c r="D173" s="15"/>
      <c r="E173" s="13"/>
      <c r="F173" s="13"/>
      <c r="G173" s="13"/>
    </row>
    <row r="174" customFormat="false" ht="15" hidden="false" customHeight="false" outlineLevel="0" collapsed="false">
      <c r="A174" s="13"/>
      <c r="B174" s="13"/>
      <c r="C174" s="14"/>
      <c r="D174" s="15"/>
      <c r="E174" s="13"/>
      <c r="F174" s="13"/>
      <c r="G174" s="13"/>
    </row>
    <row r="175" customFormat="false" ht="15" hidden="false" customHeight="false" outlineLevel="0" collapsed="false">
      <c r="A175" s="13"/>
      <c r="B175" s="13"/>
      <c r="C175" s="14"/>
      <c r="D175" s="15"/>
      <c r="E175" s="13"/>
      <c r="F175" s="13"/>
      <c r="G175" s="13"/>
    </row>
    <row r="176" customFormat="false" ht="15" hidden="false" customHeight="false" outlineLevel="0" collapsed="false">
      <c r="A176" s="13"/>
      <c r="B176" s="13"/>
      <c r="C176" s="14"/>
      <c r="D176" s="15"/>
      <c r="E176" s="13"/>
      <c r="F176" s="13"/>
      <c r="G176" s="13"/>
    </row>
    <row r="177" customFormat="false" ht="15" hidden="false" customHeight="false" outlineLevel="0" collapsed="false">
      <c r="A177" s="13"/>
      <c r="B177" s="13"/>
      <c r="C177" s="14"/>
      <c r="D177" s="15"/>
      <c r="E177" s="13"/>
      <c r="F177" s="13"/>
      <c r="G177" s="13"/>
    </row>
    <row r="178" customFormat="false" ht="15" hidden="false" customHeight="false" outlineLevel="0" collapsed="false">
      <c r="A178" s="13"/>
      <c r="B178" s="13"/>
      <c r="C178" s="14"/>
      <c r="D178" s="15"/>
      <c r="E178" s="13"/>
      <c r="F178" s="13"/>
      <c r="G178" s="13"/>
    </row>
    <row r="179" customFormat="false" ht="15" hidden="false" customHeight="false" outlineLevel="0" collapsed="false">
      <c r="A179" s="13"/>
      <c r="B179" s="13"/>
      <c r="C179" s="14"/>
      <c r="D179" s="15"/>
      <c r="E179" s="13"/>
      <c r="F179" s="13"/>
      <c r="G179" s="13"/>
    </row>
    <row r="180" customFormat="false" ht="15" hidden="false" customHeight="false" outlineLevel="0" collapsed="false">
      <c r="A180" s="13"/>
      <c r="B180" s="13"/>
      <c r="C180" s="14"/>
      <c r="D180" s="15"/>
      <c r="E180" s="13"/>
      <c r="F180" s="13"/>
      <c r="G180" s="13"/>
    </row>
    <row r="181" customFormat="false" ht="15" hidden="false" customHeight="false" outlineLevel="0" collapsed="false">
      <c r="A181" s="13"/>
      <c r="B181" s="13"/>
      <c r="C181" s="14"/>
      <c r="D181" s="15"/>
      <c r="E181" s="13"/>
      <c r="F181" s="13"/>
      <c r="G181" s="13"/>
    </row>
    <row r="182" customFormat="false" ht="15" hidden="false" customHeight="false" outlineLevel="0" collapsed="false">
      <c r="A182" s="13"/>
      <c r="B182" s="13"/>
      <c r="C182" s="14"/>
      <c r="D182" s="15"/>
      <c r="E182" s="13"/>
      <c r="F182" s="13"/>
      <c r="G182" s="13"/>
    </row>
    <row r="183" customFormat="false" ht="15" hidden="false" customHeight="false" outlineLevel="0" collapsed="false">
      <c r="A183" s="13"/>
      <c r="B183" s="13"/>
      <c r="C183" s="14"/>
      <c r="D183" s="15"/>
      <c r="E183" s="13"/>
      <c r="F183" s="13"/>
      <c r="G183" s="13"/>
    </row>
    <row r="184" customFormat="false" ht="15" hidden="false" customHeight="false" outlineLevel="0" collapsed="false">
      <c r="A184" s="13"/>
      <c r="B184" s="13"/>
      <c r="C184" s="14"/>
      <c r="D184" s="15"/>
      <c r="E184" s="13"/>
      <c r="F184" s="13"/>
      <c r="G184" s="13"/>
    </row>
    <row r="185" customFormat="false" ht="15" hidden="false" customHeight="false" outlineLevel="0" collapsed="false">
      <c r="A185" s="13"/>
      <c r="B185" s="13"/>
      <c r="C185" s="14"/>
      <c r="D185" s="15"/>
      <c r="E185" s="13"/>
      <c r="F185" s="13"/>
      <c r="G185" s="13"/>
    </row>
    <row r="186" customFormat="false" ht="15" hidden="false" customHeight="false" outlineLevel="0" collapsed="false">
      <c r="A186" s="13"/>
      <c r="B186" s="13"/>
      <c r="C186" s="14"/>
      <c r="D186" s="15"/>
      <c r="E186" s="13"/>
      <c r="F186" s="13"/>
      <c r="G186" s="13"/>
    </row>
    <row r="187" customFormat="false" ht="15" hidden="false" customHeight="false" outlineLevel="0" collapsed="false">
      <c r="A187" s="13"/>
      <c r="B187" s="13"/>
      <c r="C187" s="14"/>
      <c r="D187" s="15"/>
      <c r="E187" s="13"/>
      <c r="F187" s="13"/>
      <c r="G187" s="13"/>
    </row>
    <row r="188" customFormat="false" ht="15" hidden="false" customHeight="false" outlineLevel="0" collapsed="false">
      <c r="A188" s="13"/>
      <c r="B188" s="13"/>
      <c r="C188" s="14"/>
      <c r="D188" s="15"/>
      <c r="E188" s="13"/>
      <c r="F188" s="13"/>
      <c r="G188" s="13"/>
    </row>
    <row r="189" customFormat="false" ht="15" hidden="false" customHeight="false" outlineLevel="0" collapsed="false">
      <c r="A189" s="13"/>
      <c r="B189" s="13"/>
      <c r="C189" s="14"/>
      <c r="D189" s="15"/>
      <c r="E189" s="13"/>
      <c r="F189" s="13"/>
      <c r="G189" s="13"/>
    </row>
    <row r="190" customFormat="false" ht="15" hidden="false" customHeight="false" outlineLevel="0" collapsed="false">
      <c r="A190" s="13"/>
      <c r="B190" s="13"/>
      <c r="C190" s="14"/>
      <c r="D190" s="15"/>
      <c r="E190" s="13"/>
      <c r="F190" s="13"/>
      <c r="G190" s="13"/>
    </row>
    <row r="191" customFormat="false" ht="15" hidden="false" customHeight="false" outlineLevel="0" collapsed="false">
      <c r="A191" s="13"/>
      <c r="B191" s="13"/>
      <c r="C191" s="14"/>
      <c r="D191" s="15"/>
      <c r="E191" s="13"/>
      <c r="F191" s="13"/>
      <c r="G191" s="13"/>
    </row>
    <row r="192" customFormat="false" ht="15" hidden="false" customHeight="false" outlineLevel="0" collapsed="false">
      <c r="A192" s="13"/>
      <c r="B192" s="13"/>
      <c r="C192" s="14"/>
      <c r="D192" s="15"/>
      <c r="E192" s="13"/>
      <c r="F192" s="13"/>
      <c r="G192" s="13"/>
    </row>
    <row r="193" customFormat="false" ht="15" hidden="false" customHeight="false" outlineLevel="0" collapsed="false">
      <c r="A193" s="13"/>
      <c r="B193" s="13"/>
      <c r="C193" s="14"/>
      <c r="D193" s="15"/>
      <c r="E193" s="13"/>
      <c r="F193" s="13"/>
      <c r="G193" s="13"/>
    </row>
    <row r="194" customFormat="false" ht="15" hidden="false" customHeight="false" outlineLevel="0" collapsed="false">
      <c r="A194" s="13"/>
      <c r="B194" s="13"/>
      <c r="C194" s="14"/>
      <c r="D194" s="15"/>
      <c r="E194" s="13"/>
      <c r="F194" s="13"/>
      <c r="G194" s="13"/>
    </row>
    <row r="195" customFormat="false" ht="15" hidden="false" customHeight="false" outlineLevel="0" collapsed="false">
      <c r="A195" s="13"/>
      <c r="B195" s="13"/>
      <c r="C195" s="14"/>
      <c r="D195" s="15"/>
      <c r="E195" s="13"/>
      <c r="F195" s="13"/>
      <c r="G195" s="13"/>
    </row>
    <row r="196" customFormat="false" ht="15" hidden="false" customHeight="false" outlineLevel="0" collapsed="false">
      <c r="A196" s="13"/>
      <c r="B196" s="13"/>
      <c r="C196" s="14"/>
      <c r="D196" s="15"/>
      <c r="E196" s="13"/>
      <c r="F196" s="13"/>
      <c r="G196" s="13"/>
    </row>
    <row r="197" customFormat="false" ht="15" hidden="false" customHeight="false" outlineLevel="0" collapsed="false">
      <c r="A197" s="13"/>
      <c r="B197" s="13"/>
      <c r="C197" s="14"/>
      <c r="D197" s="15"/>
      <c r="E197" s="13"/>
      <c r="F197" s="13"/>
      <c r="G197" s="13"/>
    </row>
    <row r="198" customFormat="false" ht="15" hidden="false" customHeight="false" outlineLevel="0" collapsed="false">
      <c r="A198" s="13"/>
      <c r="B198" s="13"/>
      <c r="C198" s="14"/>
      <c r="D198" s="15"/>
      <c r="E198" s="13"/>
      <c r="F198" s="13"/>
      <c r="G198" s="13"/>
    </row>
    <row r="199" customFormat="false" ht="15" hidden="false" customHeight="false" outlineLevel="0" collapsed="false">
      <c r="A199" s="13"/>
      <c r="B199" s="13"/>
      <c r="C199" s="14"/>
      <c r="D199" s="15"/>
      <c r="E199" s="13"/>
      <c r="F199" s="13"/>
      <c r="G199" s="13"/>
    </row>
    <row r="200" customFormat="false" ht="15" hidden="false" customHeight="false" outlineLevel="0" collapsed="false">
      <c r="A200" s="13"/>
      <c r="B200" s="13"/>
      <c r="C200" s="14"/>
      <c r="D200" s="15"/>
      <c r="E200" s="13"/>
      <c r="F200" s="13"/>
      <c r="G200" s="13"/>
    </row>
    <row r="201" customFormat="false" ht="15" hidden="false" customHeight="false" outlineLevel="0" collapsed="false">
      <c r="A201" s="13"/>
      <c r="B201" s="13"/>
      <c r="C201" s="14"/>
      <c r="D201" s="15"/>
      <c r="E201" s="13"/>
      <c r="F201" s="13"/>
      <c r="G201" s="13"/>
    </row>
    <row r="202" customFormat="false" ht="15" hidden="false" customHeight="false" outlineLevel="0" collapsed="false">
      <c r="A202" s="13"/>
      <c r="B202" s="13"/>
      <c r="C202" s="14"/>
      <c r="D202" s="15"/>
      <c r="E202" s="13"/>
      <c r="F202" s="13"/>
      <c r="G202" s="13"/>
    </row>
    <row r="203" customFormat="false" ht="15" hidden="false" customHeight="false" outlineLevel="0" collapsed="false">
      <c r="A203" s="13"/>
      <c r="B203" s="13"/>
      <c r="C203" s="14"/>
      <c r="D203" s="15"/>
      <c r="E203" s="13"/>
      <c r="F203" s="13"/>
      <c r="G203" s="13"/>
    </row>
    <row r="204" customFormat="false" ht="15" hidden="false" customHeight="false" outlineLevel="0" collapsed="false">
      <c r="A204" s="13"/>
      <c r="B204" s="13"/>
      <c r="C204" s="14"/>
      <c r="D204" s="15"/>
      <c r="E204" s="13"/>
      <c r="F204" s="13"/>
      <c r="G204" s="13"/>
    </row>
    <row r="205" customFormat="false" ht="15" hidden="false" customHeight="false" outlineLevel="0" collapsed="false">
      <c r="A205" s="13"/>
      <c r="B205" s="13"/>
      <c r="C205" s="14"/>
      <c r="D205" s="15"/>
      <c r="E205" s="13"/>
      <c r="F205" s="13"/>
      <c r="G205" s="13"/>
    </row>
    <row r="206" customFormat="false" ht="15" hidden="false" customHeight="false" outlineLevel="0" collapsed="false">
      <c r="A206" s="13"/>
      <c r="B206" s="13"/>
      <c r="C206" s="14"/>
      <c r="D206" s="15"/>
      <c r="E206" s="13"/>
      <c r="F206" s="13"/>
      <c r="G206" s="13"/>
    </row>
    <row r="207" customFormat="false" ht="15" hidden="false" customHeight="false" outlineLevel="0" collapsed="false">
      <c r="A207" s="13"/>
      <c r="B207" s="13"/>
      <c r="C207" s="14"/>
      <c r="D207" s="15"/>
      <c r="E207" s="13"/>
      <c r="F207" s="13"/>
      <c r="G207" s="13"/>
    </row>
    <row r="208" customFormat="false" ht="15" hidden="false" customHeight="false" outlineLevel="0" collapsed="false">
      <c r="A208" s="13"/>
      <c r="B208" s="13"/>
      <c r="C208" s="14"/>
      <c r="D208" s="15"/>
      <c r="E208" s="13"/>
      <c r="F208" s="13"/>
      <c r="G208" s="13"/>
    </row>
    <row r="209" customFormat="false" ht="15" hidden="false" customHeight="false" outlineLevel="0" collapsed="false">
      <c r="A209" s="13"/>
      <c r="B209" s="13"/>
      <c r="C209" s="14"/>
      <c r="D209" s="15"/>
      <c r="E209" s="13"/>
      <c r="F209" s="13"/>
      <c r="G209" s="13"/>
    </row>
    <row r="210" customFormat="false" ht="15" hidden="false" customHeight="false" outlineLevel="0" collapsed="false">
      <c r="A210" s="13"/>
      <c r="B210" s="13"/>
      <c r="C210" s="14"/>
      <c r="D210" s="15"/>
      <c r="E210" s="13"/>
      <c r="F210" s="13"/>
      <c r="G210" s="13"/>
    </row>
    <row r="211" customFormat="false" ht="15" hidden="false" customHeight="false" outlineLevel="0" collapsed="false">
      <c r="A211" s="13"/>
      <c r="B211" s="13"/>
      <c r="C211" s="14"/>
      <c r="D211" s="15"/>
      <c r="E211" s="13"/>
      <c r="F211" s="13"/>
      <c r="G211" s="13"/>
    </row>
    <row r="212" customFormat="false" ht="15" hidden="false" customHeight="false" outlineLevel="0" collapsed="false">
      <c r="A212" s="13"/>
      <c r="B212" s="13"/>
      <c r="C212" s="14"/>
      <c r="D212" s="15"/>
      <c r="E212" s="13"/>
      <c r="F212" s="13"/>
      <c r="G212" s="13"/>
    </row>
    <row r="213" customFormat="false" ht="15" hidden="false" customHeight="false" outlineLevel="0" collapsed="false">
      <c r="A213" s="13"/>
      <c r="B213" s="13"/>
      <c r="C213" s="14"/>
      <c r="D213" s="15"/>
      <c r="E213" s="13"/>
      <c r="F213" s="13"/>
      <c r="G213" s="13"/>
    </row>
    <row r="214" customFormat="false" ht="15" hidden="false" customHeight="false" outlineLevel="0" collapsed="false">
      <c r="A214" s="13"/>
      <c r="B214" s="13"/>
      <c r="C214" s="14"/>
      <c r="D214" s="15"/>
      <c r="E214" s="13"/>
      <c r="F214" s="13"/>
      <c r="G214" s="13"/>
    </row>
    <row r="215" customFormat="false" ht="15" hidden="false" customHeight="false" outlineLevel="0" collapsed="false">
      <c r="A215" s="13"/>
      <c r="B215" s="13"/>
      <c r="C215" s="14"/>
      <c r="D215" s="15"/>
      <c r="E215" s="13"/>
      <c r="F215" s="13"/>
      <c r="G215" s="13"/>
    </row>
    <row r="216" customFormat="false" ht="15" hidden="false" customHeight="false" outlineLevel="0" collapsed="false">
      <c r="A216" s="13"/>
      <c r="B216" s="13"/>
      <c r="C216" s="14"/>
      <c r="D216" s="15"/>
      <c r="E216" s="13"/>
      <c r="F216" s="13"/>
      <c r="G216" s="13"/>
    </row>
    <row r="217" customFormat="false" ht="15" hidden="false" customHeight="false" outlineLevel="0" collapsed="false">
      <c r="A217" s="13"/>
      <c r="B217" s="13"/>
      <c r="C217" s="14"/>
      <c r="D217" s="15"/>
      <c r="E217" s="13"/>
      <c r="F217" s="13"/>
      <c r="G217" s="13"/>
    </row>
    <row r="218" customFormat="false" ht="15" hidden="false" customHeight="false" outlineLevel="0" collapsed="false">
      <c r="A218" s="13"/>
      <c r="B218" s="13"/>
      <c r="C218" s="14"/>
      <c r="D218" s="15"/>
      <c r="E218" s="13"/>
      <c r="F218" s="13"/>
      <c r="G218" s="13"/>
    </row>
    <row r="219" customFormat="false" ht="15" hidden="false" customHeight="false" outlineLevel="0" collapsed="false">
      <c r="A219" s="13"/>
      <c r="B219" s="13"/>
      <c r="C219" s="14"/>
      <c r="D219" s="15"/>
      <c r="E219" s="13"/>
      <c r="F219" s="13"/>
      <c r="G219" s="13"/>
    </row>
    <row r="220" customFormat="false" ht="15" hidden="false" customHeight="false" outlineLevel="0" collapsed="false">
      <c r="A220" s="13"/>
      <c r="B220" s="13"/>
      <c r="C220" s="14"/>
      <c r="D220" s="15"/>
      <c r="E220" s="13"/>
      <c r="F220" s="13"/>
      <c r="G220" s="13"/>
    </row>
    <row r="221" customFormat="false" ht="15" hidden="false" customHeight="false" outlineLevel="0" collapsed="false">
      <c r="A221" s="13"/>
      <c r="B221" s="13"/>
      <c r="C221" s="14"/>
      <c r="D221" s="15"/>
      <c r="E221" s="13"/>
      <c r="F221" s="13"/>
      <c r="G221" s="13"/>
    </row>
    <row r="222" customFormat="false" ht="15" hidden="false" customHeight="false" outlineLevel="0" collapsed="false">
      <c r="A222" s="13"/>
      <c r="B222" s="13"/>
      <c r="C222" s="14"/>
      <c r="D222" s="15"/>
      <c r="E222" s="13"/>
      <c r="F222" s="13"/>
      <c r="G222" s="13"/>
    </row>
    <row r="223" customFormat="false" ht="15" hidden="false" customHeight="false" outlineLevel="0" collapsed="false">
      <c r="A223" s="13"/>
      <c r="B223" s="13"/>
      <c r="C223" s="14"/>
      <c r="D223" s="15"/>
      <c r="E223" s="13"/>
      <c r="F223" s="13"/>
      <c r="G223" s="13"/>
    </row>
    <row r="224" customFormat="false" ht="15" hidden="false" customHeight="false" outlineLevel="0" collapsed="false">
      <c r="A224" s="13"/>
      <c r="B224" s="13"/>
      <c r="C224" s="14"/>
      <c r="D224" s="15"/>
      <c r="E224" s="13"/>
      <c r="F224" s="13"/>
      <c r="G224" s="13"/>
    </row>
    <row r="225" customFormat="false" ht="15" hidden="false" customHeight="false" outlineLevel="0" collapsed="false">
      <c r="A225" s="13"/>
      <c r="B225" s="13"/>
      <c r="C225" s="14"/>
      <c r="D225" s="15"/>
      <c r="E225" s="13"/>
      <c r="F225" s="13"/>
      <c r="G225" s="13"/>
    </row>
    <row r="226" customFormat="false" ht="15" hidden="false" customHeight="false" outlineLevel="0" collapsed="false">
      <c r="A226" s="13"/>
      <c r="B226" s="13"/>
      <c r="C226" s="14"/>
      <c r="D226" s="15"/>
      <c r="E226" s="13"/>
      <c r="F226" s="13"/>
      <c r="G226" s="13"/>
    </row>
    <row r="227" customFormat="false" ht="15" hidden="false" customHeight="false" outlineLevel="0" collapsed="false">
      <c r="A227" s="13"/>
      <c r="B227" s="13"/>
      <c r="C227" s="14"/>
      <c r="D227" s="15"/>
      <c r="E227" s="13"/>
      <c r="F227" s="13"/>
      <c r="G227" s="13"/>
    </row>
    <row r="228" customFormat="false" ht="15" hidden="false" customHeight="false" outlineLevel="0" collapsed="false">
      <c r="A228" s="13"/>
      <c r="B228" s="13"/>
      <c r="C228" s="14"/>
      <c r="D228" s="15"/>
      <c r="E228" s="13"/>
      <c r="F228" s="13"/>
      <c r="G228" s="13"/>
    </row>
    <row r="229" customFormat="false" ht="15" hidden="false" customHeight="false" outlineLevel="0" collapsed="false">
      <c r="A229" s="13"/>
      <c r="B229" s="13"/>
      <c r="C229" s="14"/>
      <c r="D229" s="15"/>
      <c r="E229" s="13"/>
      <c r="F229" s="13"/>
      <c r="G229" s="13"/>
    </row>
    <row r="230" customFormat="false" ht="15" hidden="false" customHeight="false" outlineLevel="0" collapsed="false">
      <c r="A230" s="13"/>
      <c r="B230" s="13"/>
      <c r="C230" s="14"/>
      <c r="D230" s="15"/>
      <c r="E230" s="13"/>
      <c r="F230" s="13"/>
      <c r="G230" s="13"/>
    </row>
    <row r="231" customFormat="false" ht="15" hidden="false" customHeight="false" outlineLevel="0" collapsed="false">
      <c r="A231" s="13"/>
      <c r="B231" s="13"/>
      <c r="C231" s="14"/>
      <c r="D231" s="15"/>
      <c r="E231" s="13"/>
      <c r="F231" s="13"/>
      <c r="G231" s="13"/>
    </row>
    <row r="232" customFormat="false" ht="15" hidden="false" customHeight="false" outlineLevel="0" collapsed="false">
      <c r="A232" s="13"/>
      <c r="B232" s="13"/>
      <c r="C232" s="14"/>
      <c r="D232" s="15"/>
      <c r="E232" s="13"/>
      <c r="F232" s="13"/>
      <c r="G232" s="13"/>
    </row>
    <row r="233" customFormat="false" ht="15" hidden="false" customHeight="false" outlineLevel="0" collapsed="false">
      <c r="A233" s="13"/>
      <c r="B233" s="13"/>
      <c r="C233" s="14"/>
      <c r="D233" s="15"/>
      <c r="E233" s="13"/>
      <c r="F233" s="13"/>
      <c r="G233" s="13"/>
    </row>
    <row r="234" customFormat="false" ht="15" hidden="false" customHeight="false" outlineLevel="0" collapsed="false">
      <c r="A234" s="13"/>
      <c r="B234" s="13"/>
      <c r="C234" s="14"/>
      <c r="D234" s="15"/>
      <c r="E234" s="13"/>
      <c r="F234" s="13"/>
      <c r="G234" s="13"/>
    </row>
    <row r="235" customFormat="false" ht="15" hidden="false" customHeight="false" outlineLevel="0" collapsed="false">
      <c r="A235" s="13"/>
      <c r="B235" s="13"/>
      <c r="C235" s="14"/>
      <c r="D235" s="15"/>
      <c r="E235" s="13"/>
      <c r="F235" s="13"/>
      <c r="G235" s="13"/>
    </row>
    <row r="236" customFormat="false" ht="15" hidden="false" customHeight="false" outlineLevel="0" collapsed="false">
      <c r="A236" s="13"/>
      <c r="B236" s="13"/>
      <c r="C236" s="14"/>
      <c r="D236" s="15"/>
      <c r="E236" s="13"/>
      <c r="F236" s="13"/>
      <c r="G236" s="13"/>
    </row>
    <row r="237" customFormat="false" ht="15" hidden="false" customHeight="false" outlineLevel="0" collapsed="false">
      <c r="A237" s="13"/>
      <c r="B237" s="13"/>
      <c r="C237" s="14"/>
      <c r="D237" s="15"/>
      <c r="E237" s="13"/>
      <c r="F237" s="13"/>
      <c r="G237" s="13"/>
    </row>
    <row r="238" customFormat="false" ht="15" hidden="false" customHeight="false" outlineLevel="0" collapsed="false">
      <c r="A238" s="13"/>
      <c r="B238" s="13"/>
      <c r="C238" s="14"/>
      <c r="D238" s="15"/>
      <c r="E238" s="13"/>
      <c r="F238" s="13"/>
      <c r="G238" s="13"/>
    </row>
    <row r="239" customFormat="false" ht="15" hidden="false" customHeight="false" outlineLevel="0" collapsed="false">
      <c r="A239" s="13"/>
      <c r="B239" s="13"/>
      <c r="C239" s="14"/>
      <c r="D239" s="15"/>
      <c r="E239" s="13"/>
      <c r="F239" s="13"/>
      <c r="G239" s="13"/>
    </row>
    <row r="240" customFormat="false" ht="15" hidden="false" customHeight="false" outlineLevel="0" collapsed="false">
      <c r="A240" s="13"/>
      <c r="B240" s="13"/>
      <c r="C240" s="14"/>
      <c r="D240" s="15"/>
      <c r="E240" s="13"/>
      <c r="F240" s="13"/>
      <c r="G240" s="13"/>
    </row>
    <row r="241" customFormat="false" ht="15" hidden="false" customHeight="false" outlineLevel="0" collapsed="false">
      <c r="A241" s="13"/>
      <c r="B241" s="13"/>
      <c r="C241" s="14"/>
      <c r="D241" s="15"/>
      <c r="E241" s="13"/>
      <c r="F241" s="13"/>
      <c r="G241" s="13"/>
    </row>
    <row r="242" customFormat="false" ht="15" hidden="false" customHeight="false" outlineLevel="0" collapsed="false">
      <c r="A242" s="13"/>
      <c r="B242" s="13"/>
      <c r="C242" s="14"/>
      <c r="D242" s="15"/>
      <c r="E242" s="13"/>
      <c r="F242" s="13"/>
      <c r="G242" s="13"/>
    </row>
    <row r="243" customFormat="false" ht="15" hidden="false" customHeight="false" outlineLevel="0" collapsed="false">
      <c r="A243" s="13"/>
      <c r="B243" s="13"/>
      <c r="C243" s="14"/>
      <c r="D243" s="15"/>
      <c r="E243" s="13"/>
      <c r="F243" s="13"/>
      <c r="G243" s="13"/>
    </row>
    <row r="244" customFormat="false" ht="15" hidden="false" customHeight="false" outlineLevel="0" collapsed="false">
      <c r="A244" s="13"/>
      <c r="B244" s="13"/>
      <c r="C244" s="14"/>
      <c r="D244" s="15"/>
      <c r="E244" s="13"/>
      <c r="F244" s="13"/>
      <c r="G244" s="13"/>
    </row>
    <row r="245" customFormat="false" ht="15" hidden="false" customHeight="false" outlineLevel="0" collapsed="false">
      <c r="A245" s="13"/>
      <c r="B245" s="13"/>
      <c r="C245" s="14"/>
      <c r="D245" s="15"/>
      <c r="E245" s="13"/>
      <c r="F245" s="13"/>
      <c r="G245" s="13"/>
    </row>
    <row r="246" customFormat="false" ht="15" hidden="false" customHeight="false" outlineLevel="0" collapsed="false">
      <c r="A246" s="13"/>
      <c r="B246" s="13"/>
      <c r="C246" s="14"/>
      <c r="D246" s="15"/>
      <c r="E246" s="13"/>
      <c r="F246" s="13"/>
      <c r="G246" s="13"/>
    </row>
    <row r="247" customFormat="false" ht="15" hidden="false" customHeight="false" outlineLevel="0" collapsed="false">
      <c r="A247" s="13"/>
      <c r="B247" s="13"/>
      <c r="C247" s="14"/>
      <c r="D247" s="15"/>
      <c r="E247" s="13"/>
      <c r="F247" s="13"/>
      <c r="G247" s="13"/>
    </row>
    <row r="248" customFormat="false" ht="15" hidden="false" customHeight="false" outlineLevel="0" collapsed="false">
      <c r="A248" s="13"/>
      <c r="B248" s="13"/>
      <c r="C248" s="14"/>
      <c r="D248" s="15"/>
      <c r="E248" s="13"/>
      <c r="F248" s="13"/>
      <c r="G248" s="13"/>
    </row>
    <row r="249" customFormat="false" ht="15" hidden="false" customHeight="false" outlineLevel="0" collapsed="false">
      <c r="A249" s="13"/>
      <c r="B249" s="13"/>
      <c r="C249" s="14"/>
      <c r="D249" s="15"/>
      <c r="E249" s="13"/>
      <c r="F249" s="13"/>
      <c r="G249" s="13"/>
    </row>
    <row r="250" customFormat="false" ht="15" hidden="false" customHeight="false" outlineLevel="0" collapsed="false">
      <c r="A250" s="13"/>
      <c r="B250" s="13"/>
      <c r="C250" s="14"/>
      <c r="D250" s="15"/>
      <c r="E250" s="13"/>
      <c r="F250" s="13"/>
      <c r="G250" s="13"/>
    </row>
    <row r="251" customFormat="false" ht="15" hidden="false" customHeight="false" outlineLevel="0" collapsed="false">
      <c r="A251" s="13"/>
      <c r="B251" s="13"/>
      <c r="C251" s="14"/>
      <c r="D251" s="15"/>
      <c r="E251" s="13"/>
      <c r="F251" s="13"/>
      <c r="G251" s="13"/>
    </row>
    <row r="252" customFormat="false" ht="15" hidden="false" customHeight="false" outlineLevel="0" collapsed="false">
      <c r="A252" s="13"/>
      <c r="B252" s="13"/>
      <c r="C252" s="14"/>
      <c r="D252" s="15"/>
      <c r="E252" s="13"/>
      <c r="F252" s="13"/>
      <c r="G252" s="13"/>
    </row>
    <row r="253" customFormat="false" ht="15" hidden="false" customHeight="false" outlineLevel="0" collapsed="false">
      <c r="A253" s="13"/>
      <c r="B253" s="13"/>
      <c r="C253" s="14"/>
      <c r="D253" s="15"/>
      <c r="E253" s="13"/>
      <c r="F253" s="13"/>
      <c r="G253" s="13"/>
    </row>
    <row r="254" customFormat="false" ht="15" hidden="false" customHeight="false" outlineLevel="0" collapsed="false">
      <c r="A254" s="13"/>
      <c r="B254" s="13"/>
      <c r="C254" s="14"/>
      <c r="D254" s="15"/>
      <c r="E254" s="13"/>
      <c r="F254" s="13"/>
      <c r="G254" s="13"/>
    </row>
    <row r="255" customFormat="false" ht="15" hidden="false" customHeight="false" outlineLevel="0" collapsed="false">
      <c r="A255" s="13"/>
      <c r="B255" s="13"/>
      <c r="C255" s="14"/>
      <c r="D255" s="15"/>
      <c r="E255" s="13"/>
      <c r="F255" s="13"/>
      <c r="G255" s="13"/>
    </row>
    <row r="256" customFormat="false" ht="15" hidden="false" customHeight="false" outlineLevel="0" collapsed="false">
      <c r="A256" s="13"/>
      <c r="B256" s="13"/>
      <c r="C256" s="14"/>
      <c r="D256" s="15"/>
      <c r="E256" s="13"/>
      <c r="F256" s="13"/>
      <c r="G256" s="13"/>
    </row>
    <row r="257" customFormat="false" ht="15" hidden="false" customHeight="false" outlineLevel="0" collapsed="false">
      <c r="A257" s="13"/>
      <c r="B257" s="13"/>
      <c r="C257" s="14"/>
      <c r="D257" s="15"/>
      <c r="E257" s="13"/>
      <c r="F257" s="13"/>
      <c r="G257" s="13"/>
    </row>
    <row r="258" customFormat="false" ht="15" hidden="false" customHeight="false" outlineLevel="0" collapsed="false">
      <c r="A258" s="13"/>
      <c r="B258" s="13"/>
      <c r="C258" s="14"/>
      <c r="D258" s="15"/>
      <c r="E258" s="13"/>
      <c r="F258" s="13"/>
      <c r="G258" s="13"/>
    </row>
    <row r="259" customFormat="false" ht="15" hidden="false" customHeight="false" outlineLevel="0" collapsed="false">
      <c r="A259" s="13"/>
      <c r="B259" s="13"/>
      <c r="C259" s="14"/>
      <c r="D259" s="15"/>
      <c r="E259" s="13"/>
      <c r="F259" s="13"/>
      <c r="G259" s="13"/>
    </row>
    <row r="260" customFormat="false" ht="15" hidden="false" customHeight="false" outlineLevel="0" collapsed="false">
      <c r="A260" s="13"/>
      <c r="B260" s="13"/>
      <c r="C260" s="14"/>
      <c r="D260" s="15"/>
      <c r="E260" s="13"/>
      <c r="F260" s="13"/>
      <c r="G260" s="13"/>
    </row>
    <row r="261" customFormat="false" ht="15" hidden="false" customHeight="false" outlineLevel="0" collapsed="false">
      <c r="A261" s="13"/>
      <c r="B261" s="13"/>
      <c r="C261" s="14"/>
      <c r="D261" s="15"/>
      <c r="E261" s="13"/>
      <c r="F261" s="13"/>
      <c r="G261" s="13"/>
    </row>
    <row r="262" customFormat="false" ht="15" hidden="false" customHeight="false" outlineLevel="0" collapsed="false">
      <c r="A262" s="13"/>
      <c r="B262" s="13"/>
      <c r="C262" s="14"/>
      <c r="D262" s="15"/>
      <c r="E262" s="13"/>
      <c r="F262" s="13"/>
      <c r="G262" s="13"/>
    </row>
    <row r="263" customFormat="false" ht="15" hidden="false" customHeight="false" outlineLevel="0" collapsed="false">
      <c r="A263" s="13"/>
      <c r="B263" s="13"/>
      <c r="C263" s="14"/>
      <c r="D263" s="15"/>
      <c r="E263" s="13"/>
      <c r="F263" s="13"/>
      <c r="G263" s="13"/>
    </row>
    <row r="264" customFormat="false" ht="15" hidden="false" customHeight="false" outlineLevel="0" collapsed="false">
      <c r="A264" s="13"/>
      <c r="B264" s="13"/>
      <c r="C264" s="14"/>
      <c r="D264" s="15"/>
      <c r="E264" s="13"/>
      <c r="F264" s="13"/>
      <c r="G264" s="13"/>
    </row>
    <row r="265" customFormat="false" ht="15" hidden="false" customHeight="false" outlineLevel="0" collapsed="false">
      <c r="A265" s="13"/>
      <c r="B265" s="13"/>
      <c r="C265" s="14"/>
      <c r="D265" s="15"/>
      <c r="E265" s="13"/>
      <c r="F265" s="13"/>
      <c r="G265" s="13"/>
    </row>
    <row r="266" customFormat="false" ht="15" hidden="false" customHeight="false" outlineLevel="0" collapsed="false">
      <c r="A266" s="13"/>
      <c r="B266" s="13"/>
      <c r="C266" s="14"/>
      <c r="D266" s="15"/>
      <c r="E266" s="13"/>
      <c r="F266" s="13"/>
      <c r="G266" s="13"/>
    </row>
    <row r="267" customFormat="false" ht="15" hidden="false" customHeight="false" outlineLevel="0" collapsed="false">
      <c r="A267" s="13"/>
      <c r="B267" s="13"/>
      <c r="C267" s="14"/>
      <c r="D267" s="15"/>
      <c r="E267" s="13"/>
      <c r="F267" s="13"/>
      <c r="G267" s="13"/>
    </row>
    <row r="268" customFormat="false" ht="15" hidden="false" customHeight="false" outlineLevel="0" collapsed="false">
      <c r="A268" s="13"/>
      <c r="B268" s="13"/>
      <c r="C268" s="14"/>
      <c r="D268" s="15"/>
      <c r="E268" s="13"/>
      <c r="F268" s="13"/>
      <c r="G268" s="13"/>
    </row>
    <row r="269" customFormat="false" ht="15" hidden="false" customHeight="false" outlineLevel="0" collapsed="false">
      <c r="A269" s="13"/>
      <c r="B269" s="13"/>
      <c r="C269" s="14"/>
      <c r="D269" s="15"/>
      <c r="E269" s="13"/>
      <c r="F269" s="13"/>
      <c r="G269" s="13"/>
    </row>
    <row r="270" customFormat="false" ht="15" hidden="false" customHeight="false" outlineLevel="0" collapsed="false">
      <c r="A270" s="13"/>
      <c r="B270" s="13"/>
      <c r="C270" s="14"/>
      <c r="D270" s="15"/>
      <c r="E270" s="13"/>
      <c r="F270" s="13"/>
      <c r="G270" s="13"/>
    </row>
    <row r="271" customFormat="false" ht="15" hidden="false" customHeight="false" outlineLevel="0" collapsed="false">
      <c r="A271" s="13"/>
      <c r="B271" s="13"/>
      <c r="C271" s="14"/>
      <c r="D271" s="15"/>
      <c r="E271" s="13"/>
      <c r="F271" s="13"/>
      <c r="G271" s="13"/>
    </row>
    <row r="272" customFormat="false" ht="15" hidden="false" customHeight="false" outlineLevel="0" collapsed="false">
      <c r="A272" s="13"/>
      <c r="B272" s="13"/>
      <c r="C272" s="14"/>
      <c r="D272" s="15"/>
      <c r="E272" s="13"/>
      <c r="F272" s="13"/>
      <c r="G272" s="13"/>
    </row>
    <row r="273" customFormat="false" ht="15" hidden="false" customHeight="false" outlineLevel="0" collapsed="false">
      <c r="A273" s="13"/>
      <c r="B273" s="13"/>
      <c r="C273" s="14"/>
      <c r="D273" s="15"/>
      <c r="E273" s="13"/>
      <c r="F273" s="13"/>
      <c r="G273" s="13"/>
    </row>
    <row r="274" customFormat="false" ht="15" hidden="false" customHeight="false" outlineLevel="0" collapsed="false">
      <c r="A274" s="13"/>
      <c r="B274" s="13"/>
      <c r="C274" s="14"/>
      <c r="D274" s="15"/>
      <c r="E274" s="13"/>
      <c r="F274" s="13"/>
      <c r="G274" s="13"/>
    </row>
    <row r="275" customFormat="false" ht="15" hidden="false" customHeight="false" outlineLevel="0" collapsed="false">
      <c r="A275" s="13"/>
      <c r="B275" s="13"/>
      <c r="C275" s="14"/>
      <c r="D275" s="15"/>
      <c r="E275" s="13"/>
      <c r="F275" s="13"/>
      <c r="G275" s="13"/>
    </row>
    <row r="276" customFormat="false" ht="15" hidden="false" customHeight="false" outlineLevel="0" collapsed="false">
      <c r="A276" s="13"/>
      <c r="B276" s="13"/>
      <c r="C276" s="14"/>
      <c r="D276" s="15"/>
      <c r="E276" s="13"/>
      <c r="F276" s="13"/>
      <c r="G276" s="13"/>
    </row>
    <row r="277" customFormat="false" ht="15" hidden="false" customHeight="false" outlineLevel="0" collapsed="false">
      <c r="A277" s="13"/>
      <c r="B277" s="13"/>
      <c r="C277" s="14"/>
      <c r="D277" s="15"/>
      <c r="E277" s="13"/>
      <c r="F277" s="13"/>
      <c r="G277" s="13"/>
    </row>
    <row r="278" customFormat="false" ht="15" hidden="false" customHeight="false" outlineLevel="0" collapsed="false">
      <c r="A278" s="13"/>
      <c r="B278" s="13"/>
      <c r="C278" s="14"/>
      <c r="D278" s="15"/>
      <c r="E278" s="13"/>
      <c r="F278" s="13"/>
      <c r="G278" s="13"/>
    </row>
    <row r="279" customFormat="false" ht="15" hidden="false" customHeight="false" outlineLevel="0" collapsed="false">
      <c r="A279" s="13"/>
      <c r="B279" s="13"/>
      <c r="C279" s="14"/>
      <c r="D279" s="15"/>
      <c r="E279" s="13"/>
      <c r="F279" s="13"/>
      <c r="G279" s="13"/>
    </row>
    <row r="280" customFormat="false" ht="15" hidden="false" customHeight="false" outlineLevel="0" collapsed="false">
      <c r="A280" s="13"/>
      <c r="B280" s="13"/>
      <c r="C280" s="14"/>
      <c r="D280" s="15"/>
      <c r="E280" s="13"/>
      <c r="F280" s="13"/>
      <c r="G280" s="13"/>
    </row>
    <row r="281" customFormat="false" ht="15" hidden="false" customHeight="false" outlineLevel="0" collapsed="false">
      <c r="A281" s="13"/>
      <c r="B281" s="13"/>
      <c r="C281" s="14"/>
      <c r="D281" s="15"/>
      <c r="E281" s="13"/>
      <c r="F281" s="13"/>
      <c r="G281" s="13"/>
    </row>
    <row r="282" customFormat="false" ht="15" hidden="false" customHeight="false" outlineLevel="0" collapsed="false">
      <c r="A282" s="13"/>
      <c r="B282" s="13"/>
      <c r="C282" s="14"/>
      <c r="D282" s="15"/>
      <c r="E282" s="13"/>
      <c r="F282" s="13"/>
      <c r="G282" s="13"/>
    </row>
    <row r="283" customFormat="false" ht="15" hidden="false" customHeight="false" outlineLevel="0" collapsed="false">
      <c r="A283" s="13"/>
      <c r="B283" s="13"/>
      <c r="C283" s="14"/>
      <c r="D283" s="15"/>
      <c r="E283" s="13"/>
      <c r="F283" s="13"/>
      <c r="G283" s="13"/>
    </row>
    <row r="284" customFormat="false" ht="15" hidden="false" customHeight="false" outlineLevel="0" collapsed="false">
      <c r="A284" s="13"/>
      <c r="B284" s="13"/>
      <c r="C284" s="14"/>
      <c r="D284" s="15"/>
      <c r="E284" s="13"/>
      <c r="F284" s="13"/>
      <c r="G284" s="13"/>
    </row>
    <row r="285" customFormat="false" ht="15" hidden="false" customHeight="false" outlineLevel="0" collapsed="false">
      <c r="A285" s="13"/>
      <c r="B285" s="13"/>
      <c r="C285" s="14"/>
      <c r="D285" s="15"/>
      <c r="E285" s="13"/>
      <c r="F285" s="13"/>
      <c r="G285" s="13"/>
    </row>
    <row r="286" customFormat="false" ht="15" hidden="false" customHeight="false" outlineLevel="0" collapsed="false">
      <c r="A286" s="13"/>
      <c r="B286" s="13"/>
      <c r="C286" s="14"/>
      <c r="D286" s="15"/>
      <c r="E286" s="13"/>
      <c r="F286" s="13"/>
      <c r="G286" s="13"/>
    </row>
    <row r="287" customFormat="false" ht="15" hidden="false" customHeight="false" outlineLevel="0" collapsed="false">
      <c r="A287" s="13"/>
      <c r="B287" s="13"/>
      <c r="C287" s="14"/>
      <c r="D287" s="15"/>
      <c r="E287" s="13"/>
      <c r="F287" s="13"/>
      <c r="G287" s="13"/>
    </row>
    <row r="288" customFormat="false" ht="15" hidden="false" customHeight="false" outlineLevel="0" collapsed="false">
      <c r="A288" s="13"/>
      <c r="B288" s="13"/>
      <c r="C288" s="14"/>
      <c r="D288" s="15"/>
      <c r="E288" s="13"/>
      <c r="F288" s="13"/>
      <c r="G288" s="13"/>
    </row>
    <row r="289" customFormat="false" ht="15" hidden="false" customHeight="false" outlineLevel="0" collapsed="false">
      <c r="A289" s="13"/>
      <c r="B289" s="13"/>
      <c r="C289" s="14"/>
      <c r="D289" s="15"/>
      <c r="E289" s="13"/>
      <c r="F289" s="13"/>
      <c r="G289" s="13"/>
    </row>
    <row r="290" customFormat="false" ht="15" hidden="false" customHeight="false" outlineLevel="0" collapsed="false">
      <c r="A290" s="13"/>
      <c r="B290" s="13"/>
      <c r="C290" s="14"/>
      <c r="D290" s="15"/>
      <c r="E290" s="13"/>
      <c r="F290" s="13"/>
      <c r="G290" s="13"/>
    </row>
    <row r="291" customFormat="false" ht="15" hidden="false" customHeight="false" outlineLevel="0" collapsed="false">
      <c r="A291" s="13"/>
      <c r="B291" s="13"/>
      <c r="C291" s="14"/>
      <c r="D291" s="15"/>
      <c r="E291" s="13"/>
      <c r="F291" s="13"/>
      <c r="G291" s="13"/>
    </row>
    <row r="292" customFormat="false" ht="15" hidden="false" customHeight="false" outlineLevel="0" collapsed="false">
      <c r="A292" s="13"/>
      <c r="B292" s="13"/>
      <c r="C292" s="14"/>
      <c r="D292" s="15"/>
      <c r="E292" s="13"/>
      <c r="F292" s="13"/>
      <c r="G292" s="13"/>
    </row>
    <row r="293" customFormat="false" ht="15" hidden="false" customHeight="false" outlineLevel="0" collapsed="false">
      <c r="A293" s="13"/>
      <c r="B293" s="13"/>
      <c r="C293" s="14"/>
      <c r="D293" s="15"/>
      <c r="E293" s="13"/>
      <c r="F293" s="13"/>
      <c r="G293" s="13"/>
    </row>
    <row r="294" customFormat="false" ht="15" hidden="false" customHeight="false" outlineLevel="0" collapsed="false">
      <c r="A294" s="13"/>
      <c r="B294" s="13"/>
      <c r="C294" s="14"/>
      <c r="D294" s="15"/>
      <c r="E294" s="13"/>
      <c r="F294" s="13"/>
      <c r="G294" s="13"/>
    </row>
    <row r="295" customFormat="false" ht="15" hidden="false" customHeight="false" outlineLevel="0" collapsed="false">
      <c r="A295" s="13"/>
      <c r="B295" s="13"/>
      <c r="C295" s="14"/>
      <c r="D295" s="15"/>
      <c r="E295" s="13"/>
      <c r="F295" s="13"/>
      <c r="G295" s="13"/>
    </row>
    <row r="296" customFormat="false" ht="15" hidden="false" customHeight="false" outlineLevel="0" collapsed="false">
      <c r="A296" s="13"/>
      <c r="B296" s="13"/>
      <c r="C296" s="14"/>
      <c r="D296" s="15"/>
      <c r="E296" s="13"/>
      <c r="F296" s="13"/>
      <c r="G296" s="13"/>
    </row>
    <row r="297" customFormat="false" ht="15" hidden="false" customHeight="false" outlineLevel="0" collapsed="false">
      <c r="A297" s="13"/>
      <c r="B297" s="13"/>
      <c r="C297" s="14"/>
      <c r="D297" s="15"/>
      <c r="E297" s="13"/>
      <c r="F297" s="13"/>
      <c r="G297" s="13"/>
    </row>
    <row r="298" customFormat="false" ht="15" hidden="false" customHeight="false" outlineLevel="0" collapsed="false">
      <c r="A298" s="13"/>
      <c r="B298" s="13"/>
      <c r="C298" s="14"/>
      <c r="D298" s="15"/>
      <c r="E298" s="13"/>
      <c r="F298" s="13"/>
      <c r="G298" s="13"/>
    </row>
    <row r="299" customFormat="false" ht="15" hidden="false" customHeight="false" outlineLevel="0" collapsed="false">
      <c r="A299" s="13"/>
      <c r="B299" s="13"/>
      <c r="C299" s="14"/>
      <c r="D299" s="15"/>
      <c r="E299" s="13"/>
      <c r="F299" s="13"/>
      <c r="G299" s="13"/>
    </row>
    <row r="300" customFormat="false" ht="15" hidden="false" customHeight="false" outlineLevel="0" collapsed="false">
      <c r="A300" s="13"/>
      <c r="B300" s="13"/>
      <c r="C300" s="14"/>
      <c r="D300" s="15"/>
      <c r="E300" s="13"/>
      <c r="F300" s="13"/>
      <c r="G300" s="13"/>
    </row>
    <row r="301" customFormat="false" ht="15" hidden="false" customHeight="false" outlineLevel="0" collapsed="false">
      <c r="A301" s="13"/>
      <c r="B301" s="13"/>
      <c r="C301" s="14"/>
      <c r="D301" s="15"/>
      <c r="E301" s="13"/>
      <c r="F301" s="13"/>
      <c r="G301" s="13"/>
    </row>
    <row r="302" customFormat="false" ht="15" hidden="false" customHeight="false" outlineLevel="0" collapsed="false">
      <c r="A302" s="13"/>
      <c r="B302" s="13"/>
      <c r="C302" s="14"/>
      <c r="D302" s="15"/>
      <c r="E302" s="13"/>
      <c r="F302" s="13"/>
      <c r="G302" s="13"/>
    </row>
    <row r="303" customFormat="false" ht="15" hidden="false" customHeight="false" outlineLevel="0" collapsed="false">
      <c r="A303" s="13"/>
      <c r="B303" s="13"/>
      <c r="C303" s="14"/>
      <c r="D303" s="15"/>
      <c r="E303" s="13"/>
      <c r="F303" s="13"/>
      <c r="G303" s="13"/>
    </row>
    <row r="304" customFormat="false" ht="15" hidden="false" customHeight="false" outlineLevel="0" collapsed="false">
      <c r="A304" s="13"/>
      <c r="B304" s="13"/>
      <c r="C304" s="14"/>
      <c r="D304" s="15"/>
      <c r="E304" s="13"/>
      <c r="F304" s="13"/>
      <c r="G304" s="13"/>
    </row>
    <row r="305" customFormat="false" ht="15" hidden="false" customHeight="false" outlineLevel="0" collapsed="false">
      <c r="A305" s="13"/>
      <c r="B305" s="13"/>
      <c r="C305" s="14"/>
      <c r="D305" s="15"/>
      <c r="E305" s="13"/>
      <c r="F305" s="13"/>
      <c r="G305" s="13"/>
    </row>
    <row r="306" customFormat="false" ht="15" hidden="false" customHeight="false" outlineLevel="0" collapsed="false">
      <c r="A306" s="13"/>
      <c r="B306" s="13"/>
      <c r="C306" s="14"/>
      <c r="D306" s="15"/>
      <c r="E306" s="13"/>
      <c r="F306" s="13"/>
      <c r="G306" s="13"/>
    </row>
    <row r="307" customFormat="false" ht="15" hidden="false" customHeight="false" outlineLevel="0" collapsed="false">
      <c r="A307" s="13"/>
      <c r="B307" s="13"/>
      <c r="C307" s="14"/>
      <c r="D307" s="15"/>
      <c r="E307" s="13"/>
      <c r="F307" s="13"/>
      <c r="G307" s="13"/>
    </row>
    <row r="308" customFormat="false" ht="15" hidden="false" customHeight="false" outlineLevel="0" collapsed="false">
      <c r="A308" s="13"/>
      <c r="B308" s="13"/>
      <c r="C308" s="14"/>
      <c r="D308" s="15"/>
      <c r="E308" s="13"/>
      <c r="F308" s="13"/>
      <c r="G308" s="13"/>
    </row>
    <row r="309" customFormat="false" ht="15" hidden="false" customHeight="false" outlineLevel="0" collapsed="false">
      <c r="A309" s="13"/>
      <c r="B309" s="13"/>
      <c r="C309" s="14"/>
      <c r="D309" s="15"/>
      <c r="E309" s="13"/>
      <c r="F309" s="13"/>
      <c r="G309" s="13"/>
    </row>
    <row r="310" customFormat="false" ht="15" hidden="false" customHeight="false" outlineLevel="0" collapsed="false">
      <c r="A310" s="13"/>
      <c r="B310" s="13"/>
      <c r="C310" s="14"/>
      <c r="D310" s="15"/>
      <c r="E310" s="13"/>
      <c r="F310" s="13"/>
      <c r="G310" s="13"/>
    </row>
    <row r="311" customFormat="false" ht="15" hidden="false" customHeight="false" outlineLevel="0" collapsed="false">
      <c r="A311" s="13"/>
      <c r="B311" s="13"/>
      <c r="C311" s="14"/>
      <c r="D311" s="15"/>
      <c r="E311" s="13"/>
      <c r="F311" s="13"/>
      <c r="G311" s="13"/>
    </row>
    <row r="312" customFormat="false" ht="15" hidden="false" customHeight="false" outlineLevel="0" collapsed="false">
      <c r="A312" s="13"/>
      <c r="B312" s="13"/>
      <c r="C312" s="14"/>
      <c r="D312" s="15"/>
      <c r="E312" s="13"/>
      <c r="F312" s="13"/>
      <c r="G312" s="13"/>
    </row>
    <row r="313" customFormat="false" ht="15" hidden="false" customHeight="false" outlineLevel="0" collapsed="false">
      <c r="A313" s="13"/>
      <c r="B313" s="13"/>
      <c r="C313" s="14"/>
      <c r="D313" s="15"/>
      <c r="E313" s="13"/>
      <c r="F313" s="13"/>
      <c r="G313" s="13"/>
    </row>
    <row r="314" customFormat="false" ht="15" hidden="false" customHeight="false" outlineLevel="0" collapsed="false">
      <c r="A314" s="13"/>
      <c r="B314" s="13"/>
      <c r="C314" s="14"/>
      <c r="D314" s="15"/>
      <c r="E314" s="13"/>
      <c r="F314" s="13"/>
      <c r="G314" s="13"/>
    </row>
    <row r="315" customFormat="false" ht="15" hidden="false" customHeight="false" outlineLevel="0" collapsed="false">
      <c r="A315" s="13"/>
      <c r="B315" s="13"/>
      <c r="C315" s="14"/>
      <c r="D315" s="15"/>
      <c r="E315" s="13"/>
      <c r="F315" s="13"/>
      <c r="G315" s="13"/>
    </row>
    <row r="316" customFormat="false" ht="15" hidden="false" customHeight="false" outlineLevel="0" collapsed="false">
      <c r="A316" s="13"/>
      <c r="B316" s="13"/>
      <c r="C316" s="14"/>
      <c r="D316" s="15"/>
      <c r="E316" s="13"/>
      <c r="F316" s="13"/>
      <c r="G316" s="13"/>
    </row>
    <row r="317" customFormat="false" ht="15" hidden="false" customHeight="false" outlineLevel="0" collapsed="false">
      <c r="A317" s="13"/>
      <c r="B317" s="13"/>
      <c r="C317" s="14"/>
      <c r="D317" s="15"/>
      <c r="E317" s="13"/>
      <c r="F317" s="13"/>
      <c r="G317" s="13"/>
    </row>
    <row r="318" customFormat="false" ht="15" hidden="false" customHeight="false" outlineLevel="0" collapsed="false">
      <c r="A318" s="13"/>
      <c r="B318" s="13"/>
      <c r="C318" s="14"/>
      <c r="D318" s="15"/>
      <c r="E318" s="13"/>
      <c r="F318" s="13"/>
      <c r="G318" s="13"/>
    </row>
    <row r="319" customFormat="false" ht="15" hidden="false" customHeight="false" outlineLevel="0" collapsed="false">
      <c r="A319" s="13"/>
      <c r="B319" s="13"/>
      <c r="C319" s="14"/>
      <c r="D319" s="15"/>
      <c r="E319" s="13"/>
      <c r="F319" s="13"/>
      <c r="G319" s="13"/>
    </row>
    <row r="320" customFormat="false" ht="15" hidden="false" customHeight="false" outlineLevel="0" collapsed="false">
      <c r="A320" s="13"/>
      <c r="B320" s="13"/>
      <c r="C320" s="14"/>
      <c r="D320" s="15"/>
      <c r="E320" s="13"/>
      <c r="F320" s="13"/>
      <c r="G320" s="13"/>
    </row>
    <row r="321" customFormat="false" ht="15" hidden="false" customHeight="false" outlineLevel="0" collapsed="false">
      <c r="A321" s="13"/>
      <c r="B321" s="13"/>
      <c r="C321" s="14"/>
      <c r="D321" s="15"/>
      <c r="E321" s="13"/>
      <c r="F321" s="13"/>
      <c r="G321" s="13"/>
    </row>
    <row r="322" customFormat="false" ht="15" hidden="false" customHeight="false" outlineLevel="0" collapsed="false">
      <c r="A322" s="13"/>
      <c r="B322" s="13"/>
      <c r="C322" s="14"/>
      <c r="D322" s="15"/>
      <c r="E322" s="13"/>
      <c r="F322" s="13"/>
      <c r="G322" s="13"/>
    </row>
    <row r="323" customFormat="false" ht="15" hidden="false" customHeight="false" outlineLevel="0" collapsed="false">
      <c r="A323" s="13"/>
      <c r="B323" s="13"/>
      <c r="C323" s="14"/>
      <c r="D323" s="15"/>
      <c r="E323" s="13"/>
      <c r="F323" s="13"/>
      <c r="G323" s="13"/>
    </row>
    <row r="324" customFormat="false" ht="15" hidden="false" customHeight="false" outlineLevel="0" collapsed="false">
      <c r="A324" s="13"/>
      <c r="B324" s="13"/>
      <c r="C324" s="14"/>
      <c r="D324" s="15"/>
      <c r="E324" s="13"/>
      <c r="F324" s="13"/>
      <c r="G324" s="13"/>
    </row>
    <row r="325" customFormat="false" ht="15" hidden="false" customHeight="false" outlineLevel="0" collapsed="false">
      <c r="A325" s="13"/>
      <c r="B325" s="13"/>
      <c r="C325" s="14"/>
      <c r="D325" s="15"/>
      <c r="E325" s="13"/>
      <c r="F325" s="13"/>
      <c r="G325" s="13"/>
    </row>
    <row r="326" customFormat="false" ht="15" hidden="false" customHeight="false" outlineLevel="0" collapsed="false">
      <c r="A326" s="13"/>
      <c r="B326" s="13"/>
      <c r="C326" s="14"/>
      <c r="D326" s="15"/>
      <c r="E326" s="13"/>
      <c r="F326" s="13"/>
      <c r="G326" s="13"/>
    </row>
    <row r="327" customFormat="false" ht="15" hidden="false" customHeight="false" outlineLevel="0" collapsed="false">
      <c r="A327" s="13"/>
      <c r="B327" s="13"/>
      <c r="C327" s="14"/>
      <c r="D327" s="15"/>
      <c r="E327" s="13"/>
      <c r="F327" s="13"/>
      <c r="G327" s="13"/>
    </row>
    <row r="328" customFormat="false" ht="15" hidden="false" customHeight="false" outlineLevel="0" collapsed="false">
      <c r="A328" s="13"/>
      <c r="B328" s="13"/>
      <c r="C328" s="14"/>
      <c r="D328" s="15"/>
      <c r="E328" s="13"/>
      <c r="F328" s="13"/>
      <c r="G328" s="13"/>
    </row>
    <row r="329" customFormat="false" ht="15" hidden="false" customHeight="false" outlineLevel="0" collapsed="false">
      <c r="A329" s="13"/>
      <c r="B329" s="13"/>
      <c r="C329" s="14"/>
      <c r="D329" s="15"/>
      <c r="E329" s="13"/>
      <c r="F329" s="13"/>
      <c r="G329" s="13"/>
    </row>
    <row r="330" customFormat="false" ht="15" hidden="false" customHeight="false" outlineLevel="0" collapsed="false">
      <c r="A330" s="13"/>
      <c r="B330" s="13"/>
      <c r="C330" s="14"/>
      <c r="D330" s="15"/>
      <c r="E330" s="13"/>
      <c r="F330" s="13"/>
      <c r="G330" s="13"/>
    </row>
    <row r="331" customFormat="false" ht="15" hidden="false" customHeight="false" outlineLevel="0" collapsed="false">
      <c r="A331" s="13"/>
      <c r="B331" s="13"/>
      <c r="C331" s="14"/>
      <c r="D331" s="15"/>
      <c r="E331" s="13"/>
      <c r="F331" s="13"/>
      <c r="G331" s="13"/>
    </row>
    <row r="332" customFormat="false" ht="15" hidden="false" customHeight="false" outlineLevel="0" collapsed="false">
      <c r="A332" s="13"/>
      <c r="B332" s="13"/>
      <c r="C332" s="14"/>
      <c r="D332" s="15"/>
      <c r="E332" s="13"/>
      <c r="F332" s="13"/>
      <c r="G332" s="13"/>
    </row>
    <row r="333" customFormat="false" ht="15" hidden="false" customHeight="false" outlineLevel="0" collapsed="false">
      <c r="A333" s="13"/>
      <c r="B333" s="13"/>
      <c r="C333" s="14"/>
      <c r="D333" s="15"/>
      <c r="E333" s="13"/>
      <c r="F333" s="13"/>
      <c r="G333" s="13"/>
    </row>
    <row r="334" customFormat="false" ht="15" hidden="false" customHeight="false" outlineLevel="0" collapsed="false">
      <c r="A334" s="13"/>
      <c r="B334" s="13"/>
      <c r="C334" s="14"/>
      <c r="D334" s="15"/>
      <c r="E334" s="13"/>
      <c r="F334" s="13"/>
      <c r="G334" s="13"/>
    </row>
    <row r="335" customFormat="false" ht="15" hidden="false" customHeight="false" outlineLevel="0" collapsed="false">
      <c r="A335" s="13"/>
      <c r="B335" s="13"/>
      <c r="C335" s="14"/>
      <c r="D335" s="15"/>
      <c r="E335" s="13"/>
      <c r="F335" s="13"/>
      <c r="G335" s="13"/>
    </row>
    <row r="336" customFormat="false" ht="15" hidden="false" customHeight="false" outlineLevel="0" collapsed="false">
      <c r="A336" s="13"/>
      <c r="B336" s="13"/>
      <c r="C336" s="14"/>
      <c r="D336" s="15"/>
      <c r="E336" s="13"/>
      <c r="F336" s="13"/>
      <c r="G336" s="13"/>
    </row>
    <row r="337" customFormat="false" ht="15" hidden="false" customHeight="false" outlineLevel="0" collapsed="false">
      <c r="A337" s="13"/>
      <c r="B337" s="13"/>
      <c r="C337" s="14"/>
      <c r="D337" s="15"/>
      <c r="E337" s="13"/>
      <c r="F337" s="13"/>
      <c r="G337" s="13"/>
    </row>
    <row r="338" customFormat="false" ht="15" hidden="false" customHeight="false" outlineLevel="0" collapsed="false">
      <c r="A338" s="13"/>
      <c r="B338" s="13"/>
      <c r="C338" s="14"/>
      <c r="D338" s="15"/>
      <c r="E338" s="13"/>
      <c r="F338" s="13"/>
      <c r="G338" s="13"/>
    </row>
    <row r="339" customFormat="false" ht="15" hidden="false" customHeight="false" outlineLevel="0" collapsed="false">
      <c r="A339" s="13"/>
      <c r="B339" s="13"/>
      <c r="C339" s="14"/>
      <c r="D339" s="15"/>
      <c r="E339" s="13"/>
      <c r="F339" s="13"/>
      <c r="G339" s="13"/>
    </row>
    <row r="340" customFormat="false" ht="15" hidden="false" customHeight="false" outlineLevel="0" collapsed="false">
      <c r="A340" s="13"/>
      <c r="B340" s="13"/>
      <c r="C340" s="14"/>
      <c r="D340" s="15"/>
      <c r="E340" s="13"/>
      <c r="F340" s="13"/>
      <c r="G340" s="13"/>
    </row>
    <row r="341" customFormat="false" ht="15" hidden="false" customHeight="false" outlineLevel="0" collapsed="false">
      <c r="A341" s="13"/>
      <c r="B341" s="13"/>
      <c r="C341" s="14"/>
      <c r="D341" s="15"/>
      <c r="E341" s="13"/>
      <c r="F341" s="13"/>
      <c r="G341" s="13"/>
    </row>
    <row r="342" customFormat="false" ht="15" hidden="false" customHeight="false" outlineLevel="0" collapsed="false">
      <c r="A342" s="13"/>
      <c r="B342" s="13"/>
      <c r="C342" s="14"/>
      <c r="D342" s="15"/>
      <c r="E342" s="13"/>
      <c r="F342" s="13"/>
      <c r="G342" s="13"/>
    </row>
    <row r="343" customFormat="false" ht="15" hidden="false" customHeight="false" outlineLevel="0" collapsed="false">
      <c r="A343" s="13"/>
      <c r="B343" s="13"/>
      <c r="C343" s="14"/>
      <c r="D343" s="15"/>
      <c r="E343" s="13"/>
      <c r="F343" s="13"/>
      <c r="G343" s="13"/>
    </row>
    <row r="344" customFormat="false" ht="15" hidden="false" customHeight="false" outlineLevel="0" collapsed="false">
      <c r="A344" s="13"/>
      <c r="B344" s="13"/>
      <c r="C344" s="14"/>
      <c r="D344" s="15"/>
      <c r="E344" s="13"/>
      <c r="F344" s="13"/>
      <c r="G344" s="13"/>
    </row>
    <row r="345" customFormat="false" ht="15" hidden="false" customHeight="false" outlineLevel="0" collapsed="false">
      <c r="A345" s="13"/>
      <c r="B345" s="13"/>
      <c r="C345" s="14"/>
      <c r="D345" s="15"/>
      <c r="E345" s="13"/>
      <c r="F345" s="13"/>
      <c r="G345" s="13"/>
    </row>
    <row r="346" customFormat="false" ht="15" hidden="false" customHeight="false" outlineLevel="0" collapsed="false">
      <c r="A346" s="13"/>
      <c r="B346" s="13"/>
      <c r="C346" s="14"/>
      <c r="D346" s="15"/>
      <c r="E346" s="13"/>
      <c r="F346" s="13"/>
      <c r="G346" s="13"/>
    </row>
    <row r="347" customFormat="false" ht="15" hidden="false" customHeight="false" outlineLevel="0" collapsed="false">
      <c r="A347" s="13"/>
      <c r="B347" s="13"/>
      <c r="C347" s="14"/>
      <c r="D347" s="15"/>
      <c r="E347" s="13"/>
      <c r="F347" s="13"/>
      <c r="G347" s="13"/>
    </row>
    <row r="348" customFormat="false" ht="15" hidden="false" customHeight="false" outlineLevel="0" collapsed="false">
      <c r="A348" s="13"/>
      <c r="B348" s="13"/>
      <c r="C348" s="14"/>
      <c r="D348" s="15"/>
      <c r="E348" s="13"/>
      <c r="F348" s="13"/>
      <c r="G348" s="13"/>
    </row>
    <row r="349" customFormat="false" ht="15" hidden="false" customHeight="false" outlineLevel="0" collapsed="false">
      <c r="A349" s="13"/>
      <c r="B349" s="13"/>
      <c r="C349" s="14"/>
      <c r="D349" s="15"/>
      <c r="E349" s="13"/>
      <c r="F349" s="13"/>
      <c r="G349" s="13"/>
    </row>
    <row r="350" customFormat="false" ht="15" hidden="false" customHeight="false" outlineLevel="0" collapsed="false">
      <c r="A350" s="13"/>
      <c r="B350" s="13"/>
      <c r="C350" s="14"/>
      <c r="D350" s="15"/>
      <c r="E350" s="13"/>
      <c r="F350" s="13"/>
      <c r="G350" s="13"/>
    </row>
    <row r="351" customFormat="false" ht="15" hidden="false" customHeight="false" outlineLevel="0" collapsed="false">
      <c r="A351" s="13"/>
      <c r="B351" s="13"/>
      <c r="C351" s="14"/>
      <c r="D351" s="15"/>
      <c r="E351" s="13"/>
      <c r="F351" s="13"/>
      <c r="G351" s="13"/>
    </row>
    <row r="352" customFormat="false" ht="15" hidden="false" customHeight="false" outlineLevel="0" collapsed="false">
      <c r="A352" s="13"/>
      <c r="B352" s="13"/>
      <c r="C352" s="14"/>
      <c r="D352" s="15"/>
      <c r="E352" s="13"/>
      <c r="F352" s="13"/>
      <c r="G352" s="13"/>
    </row>
    <row r="353" customFormat="false" ht="15" hidden="false" customHeight="false" outlineLevel="0" collapsed="false">
      <c r="A353" s="13"/>
      <c r="B353" s="13"/>
      <c r="C353" s="14"/>
      <c r="D353" s="15"/>
      <c r="E353" s="13"/>
      <c r="F353" s="13"/>
      <c r="G353" s="13"/>
    </row>
    <row r="354" customFormat="false" ht="15" hidden="false" customHeight="false" outlineLevel="0" collapsed="false">
      <c r="A354" s="13"/>
      <c r="B354" s="13"/>
      <c r="C354" s="14"/>
      <c r="D354" s="15"/>
      <c r="E354" s="13"/>
      <c r="F354" s="13"/>
      <c r="G354" s="13"/>
    </row>
    <row r="355" customFormat="false" ht="15" hidden="false" customHeight="false" outlineLevel="0" collapsed="false">
      <c r="A355" s="13"/>
      <c r="B355" s="13"/>
      <c r="C355" s="14"/>
      <c r="D355" s="15"/>
      <c r="E355" s="13"/>
      <c r="F355" s="13"/>
      <c r="G355" s="13"/>
    </row>
    <row r="356" customFormat="false" ht="15" hidden="false" customHeight="false" outlineLevel="0" collapsed="false">
      <c r="A356" s="13"/>
      <c r="B356" s="13"/>
      <c r="C356" s="14"/>
      <c r="D356" s="15"/>
      <c r="E356" s="13"/>
      <c r="F356" s="13"/>
      <c r="G356" s="13"/>
    </row>
    <row r="357" customFormat="false" ht="15" hidden="false" customHeight="false" outlineLevel="0" collapsed="false">
      <c r="A357" s="13"/>
      <c r="B357" s="13"/>
      <c r="C357" s="14"/>
      <c r="D357" s="15"/>
      <c r="E357" s="13"/>
      <c r="F357" s="13"/>
      <c r="G357" s="13"/>
    </row>
    <row r="358" customFormat="false" ht="15" hidden="false" customHeight="false" outlineLevel="0" collapsed="false">
      <c r="A358" s="13"/>
      <c r="B358" s="13"/>
      <c r="C358" s="14"/>
      <c r="D358" s="15"/>
      <c r="E358" s="13"/>
      <c r="F358" s="13"/>
      <c r="G358" s="13"/>
    </row>
    <row r="359" customFormat="false" ht="15" hidden="false" customHeight="false" outlineLevel="0" collapsed="false">
      <c r="A359" s="13"/>
      <c r="B359" s="13"/>
      <c r="C359" s="14"/>
      <c r="D359" s="15"/>
      <c r="E359" s="13"/>
      <c r="F359" s="13"/>
      <c r="G359" s="13"/>
    </row>
    <row r="360" customFormat="false" ht="15" hidden="false" customHeight="false" outlineLevel="0" collapsed="false">
      <c r="A360" s="13"/>
      <c r="B360" s="13"/>
      <c r="C360" s="14"/>
      <c r="D360" s="15"/>
      <c r="E360" s="13"/>
      <c r="F360" s="13"/>
      <c r="G360" s="13"/>
    </row>
    <row r="361" customFormat="false" ht="15" hidden="false" customHeight="false" outlineLevel="0" collapsed="false">
      <c r="A361" s="13"/>
      <c r="B361" s="13"/>
      <c r="C361" s="14"/>
      <c r="D361" s="15"/>
      <c r="E361" s="13"/>
      <c r="F361" s="13"/>
      <c r="G361" s="13"/>
    </row>
    <row r="362" customFormat="false" ht="15" hidden="false" customHeight="false" outlineLevel="0" collapsed="false">
      <c r="A362" s="13"/>
      <c r="B362" s="13"/>
      <c r="C362" s="14"/>
      <c r="D362" s="15"/>
      <c r="E362" s="13"/>
      <c r="F362" s="13"/>
      <c r="G362" s="13"/>
    </row>
    <row r="363" customFormat="false" ht="15" hidden="false" customHeight="false" outlineLevel="0" collapsed="false">
      <c r="A363" s="13"/>
      <c r="B363" s="13"/>
      <c r="C363" s="14"/>
      <c r="D363" s="15"/>
      <c r="E363" s="13"/>
      <c r="F363" s="13"/>
      <c r="G363" s="13"/>
    </row>
    <row r="364" customFormat="false" ht="15" hidden="false" customHeight="false" outlineLevel="0" collapsed="false">
      <c r="A364" s="13"/>
      <c r="B364" s="13"/>
      <c r="C364" s="14"/>
      <c r="D364" s="15"/>
      <c r="E364" s="13"/>
      <c r="F364" s="13"/>
      <c r="G364" s="13"/>
    </row>
    <row r="365" customFormat="false" ht="15" hidden="false" customHeight="false" outlineLevel="0" collapsed="false">
      <c r="A365" s="13"/>
      <c r="B365" s="13"/>
      <c r="C365" s="14"/>
      <c r="D365" s="15"/>
      <c r="E365" s="13"/>
      <c r="F365" s="13"/>
      <c r="G365" s="13"/>
    </row>
    <row r="366" customFormat="false" ht="15" hidden="false" customHeight="false" outlineLevel="0" collapsed="false">
      <c r="A366" s="13"/>
      <c r="B366" s="13"/>
      <c r="C366" s="14"/>
      <c r="D366" s="15"/>
      <c r="E366" s="13"/>
      <c r="F366" s="13"/>
      <c r="G366" s="13"/>
    </row>
    <row r="367" customFormat="false" ht="15" hidden="false" customHeight="false" outlineLevel="0" collapsed="false">
      <c r="A367" s="13"/>
      <c r="B367" s="13"/>
      <c r="C367" s="14"/>
      <c r="D367" s="15"/>
      <c r="E367" s="13"/>
      <c r="F367" s="13"/>
      <c r="G367" s="13"/>
    </row>
    <row r="368" customFormat="false" ht="15" hidden="false" customHeight="false" outlineLevel="0" collapsed="false">
      <c r="A368" s="13"/>
      <c r="B368" s="13"/>
      <c r="C368" s="14"/>
      <c r="D368" s="15"/>
      <c r="E368" s="13"/>
      <c r="F368" s="13"/>
      <c r="G368" s="13"/>
    </row>
    <row r="369" customFormat="false" ht="15" hidden="false" customHeight="false" outlineLevel="0" collapsed="false">
      <c r="A369" s="13"/>
      <c r="B369" s="13"/>
      <c r="C369" s="14"/>
      <c r="D369" s="15"/>
      <c r="E369" s="13"/>
      <c r="F369" s="13"/>
      <c r="G369" s="13"/>
    </row>
    <row r="370" customFormat="false" ht="15" hidden="false" customHeight="false" outlineLevel="0" collapsed="false">
      <c r="A370" s="13"/>
      <c r="B370" s="13"/>
      <c r="C370" s="14"/>
      <c r="D370" s="15"/>
      <c r="E370" s="13"/>
      <c r="F370" s="13"/>
      <c r="G370" s="13"/>
    </row>
    <row r="371" customFormat="false" ht="15" hidden="false" customHeight="false" outlineLevel="0" collapsed="false">
      <c r="A371" s="13"/>
      <c r="B371" s="13"/>
      <c r="C371" s="14"/>
      <c r="D371" s="15"/>
      <c r="E371" s="13"/>
      <c r="F371" s="13"/>
      <c r="G371" s="13"/>
    </row>
    <row r="372" customFormat="false" ht="15" hidden="false" customHeight="false" outlineLevel="0" collapsed="false">
      <c r="A372" s="13"/>
      <c r="B372" s="13"/>
      <c r="C372" s="14"/>
      <c r="D372" s="15"/>
      <c r="E372" s="13"/>
      <c r="F372" s="13"/>
      <c r="G372" s="13"/>
    </row>
    <row r="373" customFormat="false" ht="15" hidden="false" customHeight="false" outlineLevel="0" collapsed="false">
      <c r="A373" s="13"/>
      <c r="B373" s="13"/>
      <c r="C373" s="14"/>
      <c r="D373" s="15"/>
      <c r="E373" s="13"/>
      <c r="F373" s="13"/>
      <c r="G373" s="13"/>
    </row>
    <row r="374" customFormat="false" ht="15" hidden="false" customHeight="false" outlineLevel="0" collapsed="false">
      <c r="A374" s="13"/>
      <c r="B374" s="13"/>
      <c r="C374" s="14"/>
      <c r="D374" s="15"/>
      <c r="E374" s="13"/>
      <c r="F374" s="13"/>
      <c r="G374" s="13"/>
    </row>
    <row r="375" customFormat="false" ht="15" hidden="false" customHeight="false" outlineLevel="0" collapsed="false">
      <c r="A375" s="13"/>
      <c r="B375" s="13"/>
      <c r="C375" s="14"/>
      <c r="D375" s="15"/>
      <c r="E375" s="13"/>
      <c r="F375" s="13"/>
      <c r="G375" s="13"/>
    </row>
    <row r="376" customFormat="false" ht="15" hidden="false" customHeight="false" outlineLevel="0" collapsed="false">
      <c r="A376" s="13"/>
      <c r="B376" s="13"/>
      <c r="C376" s="14"/>
      <c r="D376" s="15"/>
      <c r="E376" s="13"/>
      <c r="F376" s="13"/>
      <c r="G376" s="13"/>
    </row>
    <row r="377" customFormat="false" ht="15" hidden="false" customHeight="false" outlineLevel="0" collapsed="false">
      <c r="A377" s="13"/>
      <c r="B377" s="13"/>
      <c r="C377" s="14"/>
      <c r="D377" s="15"/>
      <c r="E377" s="13"/>
      <c r="F377" s="13"/>
      <c r="G377" s="13"/>
    </row>
    <row r="378" customFormat="false" ht="15" hidden="false" customHeight="false" outlineLevel="0" collapsed="false">
      <c r="A378" s="13"/>
      <c r="B378" s="13"/>
      <c r="C378" s="14"/>
      <c r="D378" s="15"/>
      <c r="E378" s="13"/>
      <c r="F378" s="13"/>
      <c r="G378" s="13"/>
    </row>
    <row r="379" customFormat="false" ht="15" hidden="false" customHeight="false" outlineLevel="0" collapsed="false">
      <c r="A379" s="13"/>
      <c r="B379" s="13"/>
      <c r="C379" s="14"/>
      <c r="D379" s="15"/>
      <c r="E379" s="13"/>
      <c r="F379" s="13"/>
      <c r="G379" s="13"/>
    </row>
    <row r="380" customFormat="false" ht="15" hidden="false" customHeight="false" outlineLevel="0" collapsed="false">
      <c r="A380" s="13"/>
      <c r="B380" s="13"/>
      <c r="C380" s="14"/>
      <c r="D380" s="15"/>
      <c r="E380" s="13"/>
      <c r="F380" s="13"/>
      <c r="G380" s="13"/>
    </row>
    <row r="381" customFormat="false" ht="15" hidden="false" customHeight="false" outlineLevel="0" collapsed="false">
      <c r="A381" s="13"/>
      <c r="B381" s="13"/>
      <c r="C381" s="14"/>
      <c r="D381" s="15"/>
      <c r="E381" s="13"/>
      <c r="F381" s="13"/>
      <c r="G381" s="13"/>
    </row>
    <row r="382" customFormat="false" ht="15" hidden="false" customHeight="false" outlineLevel="0" collapsed="false">
      <c r="A382" s="13"/>
      <c r="B382" s="13"/>
      <c r="C382" s="14"/>
      <c r="D382" s="15"/>
      <c r="E382" s="13"/>
      <c r="F382" s="13"/>
      <c r="G382" s="13"/>
    </row>
    <row r="383" customFormat="false" ht="15" hidden="false" customHeight="false" outlineLevel="0" collapsed="false">
      <c r="A383" s="13"/>
      <c r="B383" s="13"/>
      <c r="C383" s="14"/>
      <c r="D383" s="15"/>
      <c r="E383" s="13"/>
      <c r="F383" s="13"/>
      <c r="G383" s="13"/>
    </row>
    <row r="384" customFormat="false" ht="15" hidden="false" customHeight="false" outlineLevel="0" collapsed="false">
      <c r="A384" s="13"/>
      <c r="B384" s="13"/>
      <c r="C384" s="14"/>
      <c r="D384" s="15"/>
      <c r="E384" s="13"/>
      <c r="F384" s="13"/>
      <c r="G384" s="13"/>
    </row>
    <row r="385" customFormat="false" ht="15" hidden="false" customHeight="false" outlineLevel="0" collapsed="false">
      <c r="A385" s="13"/>
      <c r="B385" s="13"/>
      <c r="C385" s="14"/>
      <c r="D385" s="15"/>
      <c r="E385" s="13"/>
      <c r="F385" s="13"/>
      <c r="G385" s="13"/>
    </row>
    <row r="386" customFormat="false" ht="15" hidden="false" customHeight="false" outlineLevel="0" collapsed="false">
      <c r="A386" s="13"/>
      <c r="B386" s="13"/>
      <c r="C386" s="14"/>
      <c r="D386" s="15"/>
      <c r="E386" s="13"/>
      <c r="F386" s="13"/>
      <c r="G386" s="13"/>
    </row>
    <row r="387" customFormat="false" ht="15" hidden="false" customHeight="false" outlineLevel="0" collapsed="false">
      <c r="A387" s="13"/>
      <c r="B387" s="13"/>
      <c r="C387" s="14"/>
      <c r="D387" s="15"/>
      <c r="E387" s="13"/>
      <c r="F387" s="13"/>
      <c r="G387" s="13"/>
    </row>
    <row r="388" customFormat="false" ht="15" hidden="false" customHeight="false" outlineLevel="0" collapsed="false">
      <c r="A388" s="13"/>
      <c r="B388" s="13"/>
      <c r="C388" s="14"/>
      <c r="D388" s="15"/>
      <c r="E388" s="13"/>
      <c r="F388" s="13"/>
      <c r="G388" s="13"/>
    </row>
    <row r="389" customFormat="false" ht="15" hidden="false" customHeight="false" outlineLevel="0" collapsed="false">
      <c r="A389" s="13"/>
      <c r="B389" s="13"/>
      <c r="C389" s="14"/>
      <c r="D389" s="15"/>
      <c r="E389" s="13"/>
      <c r="F389" s="13"/>
      <c r="G389" s="13"/>
    </row>
    <row r="390" customFormat="false" ht="15" hidden="false" customHeight="false" outlineLevel="0" collapsed="false">
      <c r="A390" s="13"/>
      <c r="B390" s="13"/>
      <c r="C390" s="14"/>
      <c r="D390" s="15"/>
      <c r="E390" s="13"/>
      <c r="F390" s="13"/>
      <c r="G390" s="13"/>
    </row>
    <row r="391" customFormat="false" ht="15" hidden="false" customHeight="false" outlineLevel="0" collapsed="false">
      <c r="A391" s="13"/>
      <c r="B391" s="13"/>
      <c r="C391" s="14"/>
      <c r="D391" s="15"/>
      <c r="E391" s="13"/>
      <c r="F391" s="13"/>
      <c r="G391" s="13"/>
    </row>
    <row r="392" customFormat="false" ht="15" hidden="false" customHeight="false" outlineLevel="0" collapsed="false">
      <c r="A392" s="13"/>
      <c r="B392" s="13"/>
      <c r="C392" s="14"/>
      <c r="D392" s="15"/>
      <c r="E392" s="13"/>
      <c r="F392" s="13"/>
      <c r="G392" s="13"/>
    </row>
    <row r="393" customFormat="false" ht="15" hidden="false" customHeight="false" outlineLevel="0" collapsed="false">
      <c r="A393" s="13"/>
      <c r="B393" s="13"/>
      <c r="C393" s="14"/>
      <c r="D393" s="15"/>
      <c r="E393" s="13"/>
      <c r="F393" s="13"/>
      <c r="G393" s="13"/>
    </row>
    <row r="394" customFormat="false" ht="15" hidden="false" customHeight="false" outlineLevel="0" collapsed="false">
      <c r="A394" s="13"/>
      <c r="B394" s="13"/>
      <c r="C394" s="14"/>
      <c r="D394" s="15"/>
      <c r="E394" s="13"/>
      <c r="F394" s="13"/>
      <c r="G394" s="13"/>
    </row>
    <row r="395" customFormat="false" ht="15" hidden="false" customHeight="false" outlineLevel="0" collapsed="false">
      <c r="A395" s="13"/>
      <c r="B395" s="13"/>
      <c r="C395" s="14"/>
      <c r="D395" s="15"/>
      <c r="E395" s="13"/>
      <c r="F395" s="13"/>
      <c r="G395" s="13"/>
    </row>
    <row r="396" customFormat="false" ht="15" hidden="false" customHeight="false" outlineLevel="0" collapsed="false">
      <c r="A396" s="13"/>
      <c r="B396" s="13"/>
      <c r="C396" s="14"/>
      <c r="D396" s="15"/>
      <c r="E396" s="13"/>
      <c r="F396" s="13"/>
      <c r="G396" s="13"/>
    </row>
    <row r="397" customFormat="false" ht="15" hidden="false" customHeight="false" outlineLevel="0" collapsed="false">
      <c r="A397" s="13"/>
      <c r="B397" s="13"/>
      <c r="C397" s="14"/>
      <c r="D397" s="15"/>
      <c r="E397" s="13"/>
      <c r="F397" s="13"/>
      <c r="G397" s="13"/>
    </row>
    <row r="398" customFormat="false" ht="15" hidden="false" customHeight="false" outlineLevel="0" collapsed="false">
      <c r="A398" s="13"/>
      <c r="B398" s="13"/>
      <c r="C398" s="14"/>
      <c r="D398" s="15"/>
      <c r="E398" s="13"/>
      <c r="F398" s="13"/>
      <c r="G398" s="13"/>
    </row>
    <row r="399" customFormat="false" ht="15" hidden="false" customHeight="false" outlineLevel="0" collapsed="false">
      <c r="A399" s="13"/>
      <c r="B399" s="13"/>
      <c r="C399" s="14"/>
      <c r="D399" s="15"/>
      <c r="E399" s="13"/>
      <c r="F399" s="13"/>
      <c r="G399" s="13"/>
    </row>
    <row r="400" customFormat="false" ht="15" hidden="false" customHeight="false" outlineLevel="0" collapsed="false">
      <c r="A400" s="13"/>
      <c r="B400" s="13"/>
      <c r="C400" s="14"/>
      <c r="D400" s="15"/>
      <c r="E400" s="13"/>
      <c r="F400" s="13"/>
      <c r="G400" s="13"/>
    </row>
    <row r="401" customFormat="false" ht="15" hidden="false" customHeight="false" outlineLevel="0" collapsed="false">
      <c r="A401" s="13"/>
      <c r="B401" s="13"/>
      <c r="C401" s="14"/>
      <c r="D401" s="15"/>
      <c r="E401" s="13"/>
      <c r="F401" s="13"/>
      <c r="G401" s="13"/>
    </row>
    <row r="402" customFormat="false" ht="15" hidden="false" customHeight="false" outlineLevel="0" collapsed="false">
      <c r="A402" s="13"/>
      <c r="B402" s="13"/>
      <c r="C402" s="14"/>
      <c r="D402" s="15"/>
      <c r="E402" s="13"/>
      <c r="F402" s="13"/>
      <c r="G402" s="13"/>
    </row>
    <row r="403" customFormat="false" ht="15" hidden="false" customHeight="false" outlineLevel="0" collapsed="false">
      <c r="A403" s="13"/>
      <c r="B403" s="13"/>
      <c r="C403" s="14"/>
      <c r="D403" s="15"/>
      <c r="E403" s="13"/>
      <c r="F403" s="13"/>
      <c r="G403" s="13"/>
    </row>
    <row r="404" customFormat="false" ht="15" hidden="false" customHeight="false" outlineLevel="0" collapsed="false">
      <c r="A404" s="13"/>
      <c r="B404" s="13"/>
      <c r="C404" s="14"/>
      <c r="D404" s="15"/>
      <c r="E404" s="13"/>
      <c r="F404" s="13"/>
      <c r="G404" s="13"/>
    </row>
    <row r="405" customFormat="false" ht="15" hidden="false" customHeight="false" outlineLevel="0" collapsed="false">
      <c r="A405" s="13"/>
      <c r="B405" s="13"/>
      <c r="C405" s="14"/>
      <c r="D405" s="15"/>
      <c r="E405" s="13"/>
      <c r="F405" s="13"/>
      <c r="G405" s="13"/>
    </row>
    <row r="406" customFormat="false" ht="15" hidden="false" customHeight="false" outlineLevel="0" collapsed="false">
      <c r="A406" s="13"/>
      <c r="B406" s="13"/>
      <c r="C406" s="14"/>
      <c r="D406" s="15"/>
      <c r="E406" s="13"/>
      <c r="F406" s="13"/>
      <c r="G406" s="13"/>
    </row>
    <row r="407" customFormat="false" ht="15" hidden="false" customHeight="false" outlineLevel="0" collapsed="false">
      <c r="A407" s="13"/>
      <c r="B407" s="13"/>
      <c r="C407" s="14"/>
      <c r="D407" s="15"/>
      <c r="E407" s="13"/>
      <c r="F407" s="13"/>
      <c r="G407" s="13"/>
    </row>
    <row r="408" customFormat="false" ht="15" hidden="false" customHeight="false" outlineLevel="0" collapsed="false">
      <c r="A408" s="13"/>
      <c r="B408" s="13"/>
      <c r="C408" s="14"/>
      <c r="D408" s="15"/>
      <c r="E408" s="13"/>
      <c r="F408" s="13"/>
      <c r="G408" s="13"/>
    </row>
    <row r="409" customFormat="false" ht="15" hidden="false" customHeight="false" outlineLevel="0" collapsed="false">
      <c r="A409" s="13"/>
      <c r="B409" s="13"/>
      <c r="C409" s="14"/>
      <c r="D409" s="15"/>
      <c r="E409" s="13"/>
      <c r="F409" s="13"/>
      <c r="G409" s="13"/>
    </row>
    <row r="410" customFormat="false" ht="15" hidden="false" customHeight="false" outlineLevel="0" collapsed="false">
      <c r="A410" s="13"/>
      <c r="B410" s="13"/>
      <c r="C410" s="14"/>
      <c r="D410" s="15"/>
      <c r="E410" s="13"/>
      <c r="F410" s="13"/>
      <c r="G410" s="13"/>
    </row>
    <row r="411" customFormat="false" ht="15" hidden="false" customHeight="false" outlineLevel="0" collapsed="false">
      <c r="A411" s="13"/>
      <c r="B411" s="13"/>
      <c r="C411" s="14"/>
      <c r="D411" s="15"/>
      <c r="E411" s="13"/>
      <c r="F411" s="13"/>
      <c r="G411" s="13"/>
    </row>
    <row r="412" customFormat="false" ht="15" hidden="false" customHeight="false" outlineLevel="0" collapsed="false">
      <c r="A412" s="13"/>
      <c r="B412" s="13"/>
      <c r="C412" s="14"/>
      <c r="D412" s="15"/>
      <c r="E412" s="13"/>
      <c r="F412" s="13"/>
      <c r="G412" s="13"/>
    </row>
    <row r="413" customFormat="false" ht="15" hidden="false" customHeight="false" outlineLevel="0" collapsed="false">
      <c r="A413" s="13"/>
      <c r="B413" s="13"/>
      <c r="C413" s="14"/>
      <c r="D413" s="15"/>
      <c r="E413" s="13"/>
      <c r="F413" s="13"/>
      <c r="G413" s="13"/>
    </row>
    <row r="414" customFormat="false" ht="15" hidden="false" customHeight="false" outlineLevel="0" collapsed="false">
      <c r="A414" s="13"/>
      <c r="B414" s="13"/>
      <c r="C414" s="14"/>
      <c r="D414" s="15"/>
      <c r="E414" s="13"/>
      <c r="F414" s="13"/>
      <c r="G414" s="13"/>
    </row>
    <row r="415" customFormat="false" ht="15" hidden="false" customHeight="false" outlineLevel="0" collapsed="false">
      <c r="A415" s="13"/>
      <c r="B415" s="13"/>
      <c r="C415" s="14"/>
      <c r="D415" s="15"/>
      <c r="E415" s="13"/>
      <c r="F415" s="13"/>
      <c r="G415" s="13"/>
    </row>
    <row r="416" customFormat="false" ht="15" hidden="false" customHeight="false" outlineLevel="0" collapsed="false">
      <c r="A416" s="13"/>
      <c r="B416" s="13"/>
      <c r="C416" s="14"/>
      <c r="D416" s="15"/>
      <c r="E416" s="13"/>
      <c r="F416" s="13"/>
      <c r="G416" s="13"/>
    </row>
    <row r="417" customFormat="false" ht="15" hidden="false" customHeight="false" outlineLevel="0" collapsed="false">
      <c r="A417" s="13"/>
      <c r="B417" s="13"/>
      <c r="C417" s="14"/>
      <c r="D417" s="15"/>
      <c r="E417" s="13"/>
      <c r="F417" s="13"/>
      <c r="G417" s="13"/>
    </row>
    <row r="418" customFormat="false" ht="15" hidden="false" customHeight="false" outlineLevel="0" collapsed="false">
      <c r="A418" s="13"/>
      <c r="B418" s="13"/>
      <c r="C418" s="14"/>
      <c r="D418" s="15"/>
      <c r="E418" s="13"/>
      <c r="F418" s="13"/>
      <c r="G418" s="13"/>
    </row>
    <row r="419" customFormat="false" ht="15" hidden="false" customHeight="false" outlineLevel="0" collapsed="false">
      <c r="A419" s="13"/>
      <c r="B419" s="13"/>
      <c r="C419" s="14"/>
      <c r="D419" s="15"/>
      <c r="E419" s="13"/>
      <c r="F419" s="13"/>
      <c r="G419" s="13"/>
    </row>
    <row r="420" customFormat="false" ht="15" hidden="false" customHeight="false" outlineLevel="0" collapsed="false">
      <c r="A420" s="13"/>
      <c r="B420" s="13"/>
      <c r="C420" s="14"/>
      <c r="D420" s="15"/>
      <c r="E420" s="13"/>
      <c r="F420" s="13"/>
      <c r="G420" s="13"/>
    </row>
    <row r="421" customFormat="false" ht="15" hidden="false" customHeight="false" outlineLevel="0" collapsed="false">
      <c r="A421" s="13"/>
      <c r="B421" s="13"/>
      <c r="C421" s="14"/>
      <c r="D421" s="15"/>
      <c r="E421" s="13"/>
      <c r="F421" s="13"/>
      <c r="G421" s="13"/>
    </row>
    <row r="422" customFormat="false" ht="15" hidden="false" customHeight="false" outlineLevel="0" collapsed="false">
      <c r="A422" s="13"/>
      <c r="B422" s="13"/>
      <c r="C422" s="14"/>
      <c r="D422" s="15"/>
      <c r="E422" s="13"/>
      <c r="F422" s="13"/>
      <c r="G422" s="13"/>
    </row>
    <row r="423" customFormat="false" ht="15" hidden="false" customHeight="false" outlineLevel="0" collapsed="false">
      <c r="A423" s="13"/>
      <c r="B423" s="13"/>
      <c r="C423" s="14"/>
      <c r="D423" s="15"/>
      <c r="E423" s="13"/>
      <c r="F423" s="13"/>
      <c r="G423" s="13"/>
    </row>
    <row r="424" customFormat="false" ht="15" hidden="false" customHeight="false" outlineLevel="0" collapsed="false">
      <c r="A424" s="13"/>
      <c r="B424" s="13"/>
      <c r="C424" s="14"/>
      <c r="D424" s="15"/>
      <c r="E424" s="13"/>
      <c r="F424" s="13"/>
      <c r="G424" s="13"/>
    </row>
    <row r="425" customFormat="false" ht="15" hidden="false" customHeight="false" outlineLevel="0" collapsed="false">
      <c r="A425" s="13"/>
      <c r="B425" s="13"/>
      <c r="C425" s="14"/>
      <c r="D425" s="15"/>
      <c r="E425" s="13"/>
      <c r="F425" s="13"/>
      <c r="G425" s="13"/>
    </row>
    <row r="426" customFormat="false" ht="15" hidden="false" customHeight="false" outlineLevel="0" collapsed="false">
      <c r="A426" s="13"/>
      <c r="B426" s="13"/>
      <c r="C426" s="14"/>
      <c r="D426" s="15"/>
      <c r="E426" s="13"/>
      <c r="F426" s="13"/>
      <c r="G426" s="13"/>
    </row>
    <row r="427" customFormat="false" ht="15" hidden="false" customHeight="false" outlineLevel="0" collapsed="false">
      <c r="A427" s="13"/>
      <c r="B427" s="13"/>
      <c r="C427" s="14"/>
      <c r="D427" s="15"/>
      <c r="E427" s="13"/>
      <c r="F427" s="13"/>
      <c r="G427" s="13"/>
    </row>
    <row r="428" customFormat="false" ht="15" hidden="false" customHeight="false" outlineLevel="0" collapsed="false">
      <c r="A428" s="13"/>
      <c r="B428" s="13"/>
      <c r="C428" s="14"/>
      <c r="D428" s="15"/>
      <c r="E428" s="13"/>
      <c r="F428" s="13"/>
      <c r="G428" s="13"/>
    </row>
    <row r="429" customFormat="false" ht="15" hidden="false" customHeight="false" outlineLevel="0" collapsed="false">
      <c r="A429" s="13"/>
      <c r="B429" s="13"/>
      <c r="C429" s="14"/>
      <c r="D429" s="15"/>
      <c r="E429" s="13"/>
      <c r="F429" s="13"/>
      <c r="G429" s="13"/>
    </row>
    <row r="430" customFormat="false" ht="15" hidden="false" customHeight="false" outlineLevel="0" collapsed="false">
      <c r="A430" s="13"/>
      <c r="B430" s="13"/>
      <c r="C430" s="14"/>
      <c r="D430" s="15"/>
      <c r="E430" s="13"/>
      <c r="F430" s="13"/>
      <c r="G430" s="13"/>
    </row>
    <row r="431" customFormat="false" ht="15" hidden="false" customHeight="false" outlineLevel="0" collapsed="false">
      <c r="A431" s="13"/>
      <c r="B431" s="13"/>
      <c r="C431" s="14"/>
      <c r="D431" s="15"/>
      <c r="E431" s="13"/>
      <c r="F431" s="13"/>
      <c r="G431" s="13"/>
    </row>
    <row r="432" customFormat="false" ht="15" hidden="false" customHeight="false" outlineLevel="0" collapsed="false">
      <c r="A432" s="13"/>
      <c r="B432" s="13"/>
      <c r="C432" s="14"/>
      <c r="D432" s="15"/>
      <c r="E432" s="13"/>
      <c r="F432" s="13"/>
      <c r="G432" s="13"/>
    </row>
    <row r="433" customFormat="false" ht="15" hidden="false" customHeight="false" outlineLevel="0" collapsed="false">
      <c r="A433" s="13"/>
      <c r="B433" s="13"/>
      <c r="C433" s="14"/>
      <c r="D433" s="15"/>
      <c r="E433" s="13"/>
      <c r="F433" s="13"/>
      <c r="G433" s="13"/>
    </row>
    <row r="434" customFormat="false" ht="15" hidden="false" customHeight="false" outlineLevel="0" collapsed="false">
      <c r="A434" s="13"/>
      <c r="B434" s="13"/>
      <c r="C434" s="14"/>
      <c r="D434" s="15"/>
      <c r="E434" s="13"/>
      <c r="F434" s="13"/>
      <c r="G434" s="13"/>
    </row>
    <row r="435" customFormat="false" ht="15" hidden="false" customHeight="false" outlineLevel="0" collapsed="false">
      <c r="A435" s="13"/>
      <c r="B435" s="13"/>
      <c r="C435" s="14"/>
      <c r="D435" s="15"/>
      <c r="E435" s="13"/>
      <c r="F435" s="13"/>
      <c r="G435" s="13"/>
    </row>
    <row r="436" customFormat="false" ht="15" hidden="false" customHeight="false" outlineLevel="0" collapsed="false">
      <c r="A436" s="13"/>
      <c r="B436" s="13"/>
      <c r="C436" s="14"/>
      <c r="D436" s="15"/>
      <c r="E436" s="13"/>
      <c r="F436" s="13"/>
      <c r="G436" s="13"/>
    </row>
    <row r="437" customFormat="false" ht="15" hidden="false" customHeight="false" outlineLevel="0" collapsed="false">
      <c r="A437" s="13"/>
      <c r="B437" s="13"/>
      <c r="C437" s="14"/>
      <c r="D437" s="15"/>
      <c r="E437" s="13"/>
      <c r="F437" s="13"/>
      <c r="G437" s="13"/>
    </row>
    <row r="438" customFormat="false" ht="15" hidden="false" customHeight="false" outlineLevel="0" collapsed="false">
      <c r="A438" s="13"/>
      <c r="B438" s="13"/>
      <c r="C438" s="14"/>
      <c r="D438" s="15"/>
      <c r="E438" s="13"/>
      <c r="F438" s="13"/>
      <c r="G438" s="13"/>
    </row>
    <row r="439" customFormat="false" ht="15" hidden="false" customHeight="false" outlineLevel="0" collapsed="false">
      <c r="A439" s="13"/>
      <c r="B439" s="13"/>
      <c r="C439" s="14"/>
      <c r="D439" s="15"/>
      <c r="E439" s="13"/>
      <c r="F439" s="13"/>
      <c r="G439" s="13"/>
    </row>
    <row r="440" customFormat="false" ht="15" hidden="false" customHeight="false" outlineLevel="0" collapsed="false">
      <c r="A440" s="13"/>
      <c r="B440" s="13"/>
      <c r="C440" s="14"/>
      <c r="D440" s="15"/>
      <c r="E440" s="13"/>
      <c r="F440" s="13"/>
      <c r="G440" s="13"/>
    </row>
    <row r="441" customFormat="false" ht="15" hidden="false" customHeight="false" outlineLevel="0" collapsed="false">
      <c r="A441" s="13"/>
      <c r="B441" s="13"/>
      <c r="C441" s="14"/>
      <c r="D441" s="15"/>
      <c r="E441" s="13"/>
      <c r="F441" s="13"/>
      <c r="G441" s="13"/>
    </row>
    <row r="442" customFormat="false" ht="15" hidden="false" customHeight="false" outlineLevel="0" collapsed="false">
      <c r="A442" s="13"/>
      <c r="B442" s="13"/>
      <c r="C442" s="14"/>
      <c r="D442" s="15"/>
      <c r="E442" s="13"/>
      <c r="F442" s="13"/>
      <c r="G442" s="13"/>
    </row>
    <row r="443" customFormat="false" ht="15" hidden="false" customHeight="false" outlineLevel="0" collapsed="false">
      <c r="A443" s="13"/>
      <c r="B443" s="13"/>
      <c r="C443" s="14"/>
      <c r="D443" s="15"/>
      <c r="E443" s="13"/>
      <c r="F443" s="13"/>
      <c r="G443" s="13"/>
    </row>
    <row r="444" customFormat="false" ht="15" hidden="false" customHeight="false" outlineLevel="0" collapsed="false">
      <c r="A444" s="13"/>
      <c r="B444" s="13"/>
      <c r="C444" s="14"/>
      <c r="D444" s="15"/>
      <c r="E444" s="13"/>
      <c r="F444" s="13"/>
      <c r="G444" s="13"/>
    </row>
    <row r="445" customFormat="false" ht="15" hidden="false" customHeight="false" outlineLevel="0" collapsed="false">
      <c r="A445" s="13"/>
      <c r="B445" s="13"/>
      <c r="C445" s="14"/>
      <c r="D445" s="15"/>
      <c r="E445" s="13"/>
      <c r="F445" s="13"/>
      <c r="G445" s="13"/>
    </row>
    <row r="446" customFormat="false" ht="15" hidden="false" customHeight="false" outlineLevel="0" collapsed="false">
      <c r="A446" s="13"/>
      <c r="B446" s="13"/>
      <c r="C446" s="14"/>
      <c r="D446" s="15"/>
      <c r="E446" s="13"/>
      <c r="F446" s="13"/>
      <c r="G446" s="13"/>
    </row>
    <row r="447" customFormat="false" ht="15" hidden="false" customHeight="false" outlineLevel="0" collapsed="false">
      <c r="A447" s="13"/>
      <c r="B447" s="13"/>
      <c r="C447" s="14"/>
      <c r="D447" s="15"/>
      <c r="E447" s="13"/>
      <c r="F447" s="13"/>
      <c r="G447" s="13"/>
    </row>
    <row r="448" customFormat="false" ht="15" hidden="false" customHeight="false" outlineLevel="0" collapsed="false">
      <c r="A448" s="13"/>
      <c r="B448" s="13"/>
      <c r="C448" s="14"/>
      <c r="D448" s="15"/>
      <c r="E448" s="13"/>
      <c r="F448" s="13"/>
      <c r="G448" s="13"/>
    </row>
    <row r="449" customFormat="false" ht="15" hidden="false" customHeight="false" outlineLevel="0" collapsed="false">
      <c r="A449" s="13"/>
      <c r="B449" s="13"/>
      <c r="C449" s="14"/>
      <c r="D449" s="15"/>
      <c r="E449" s="13"/>
      <c r="F449" s="13"/>
      <c r="G449" s="13"/>
    </row>
    <row r="450" customFormat="false" ht="15" hidden="false" customHeight="false" outlineLevel="0" collapsed="false">
      <c r="A450" s="13"/>
      <c r="B450" s="13"/>
      <c r="C450" s="14"/>
      <c r="D450" s="15"/>
      <c r="E450" s="13"/>
      <c r="F450" s="13"/>
      <c r="G450" s="13"/>
    </row>
    <row r="451" customFormat="false" ht="15" hidden="false" customHeight="false" outlineLevel="0" collapsed="false">
      <c r="A451" s="13"/>
      <c r="B451" s="13"/>
      <c r="C451" s="14"/>
      <c r="D451" s="15"/>
      <c r="E451" s="13"/>
      <c r="F451" s="13"/>
      <c r="G451" s="13"/>
    </row>
    <row r="452" customFormat="false" ht="15" hidden="false" customHeight="false" outlineLevel="0" collapsed="false">
      <c r="A452" s="13"/>
      <c r="B452" s="13"/>
      <c r="C452" s="14"/>
      <c r="D452" s="15"/>
      <c r="E452" s="13"/>
      <c r="F452" s="13"/>
      <c r="G452" s="13"/>
    </row>
    <row r="453" customFormat="false" ht="15" hidden="false" customHeight="false" outlineLevel="0" collapsed="false">
      <c r="A453" s="13"/>
      <c r="B453" s="13"/>
      <c r="C453" s="14"/>
      <c r="D453" s="15"/>
      <c r="E453" s="13"/>
      <c r="F453" s="13"/>
      <c r="G453" s="13"/>
    </row>
    <row r="454" customFormat="false" ht="15" hidden="false" customHeight="false" outlineLevel="0" collapsed="false">
      <c r="A454" s="13"/>
      <c r="B454" s="13"/>
      <c r="C454" s="14"/>
      <c r="D454" s="15"/>
      <c r="E454" s="13"/>
      <c r="F454" s="13"/>
      <c r="G454" s="13"/>
    </row>
    <row r="455" customFormat="false" ht="15" hidden="false" customHeight="false" outlineLevel="0" collapsed="false">
      <c r="A455" s="13"/>
      <c r="B455" s="13"/>
      <c r="C455" s="14"/>
      <c r="D455" s="15"/>
      <c r="E455" s="13"/>
      <c r="F455" s="13"/>
      <c r="G455" s="13"/>
    </row>
    <row r="456" customFormat="false" ht="15" hidden="false" customHeight="false" outlineLevel="0" collapsed="false">
      <c r="A456" s="13"/>
      <c r="B456" s="13"/>
      <c r="C456" s="14"/>
      <c r="D456" s="15"/>
      <c r="E456" s="13"/>
      <c r="F456" s="13"/>
      <c r="G456" s="13"/>
    </row>
    <row r="457" customFormat="false" ht="15" hidden="false" customHeight="false" outlineLevel="0" collapsed="false">
      <c r="A457" s="13"/>
      <c r="B457" s="13"/>
      <c r="C457" s="14"/>
      <c r="D457" s="15"/>
      <c r="E457" s="13"/>
      <c r="F457" s="13"/>
      <c r="G457" s="13"/>
    </row>
    <row r="458" customFormat="false" ht="15" hidden="false" customHeight="false" outlineLevel="0" collapsed="false">
      <c r="A458" s="13"/>
      <c r="B458" s="13"/>
      <c r="C458" s="14"/>
      <c r="D458" s="15"/>
      <c r="E458" s="13"/>
      <c r="F458" s="13"/>
      <c r="G458" s="13"/>
    </row>
    <row r="459" customFormat="false" ht="15" hidden="false" customHeight="false" outlineLevel="0" collapsed="false">
      <c r="A459" s="13"/>
      <c r="B459" s="13"/>
      <c r="C459" s="14"/>
      <c r="D459" s="15"/>
      <c r="E459" s="13"/>
      <c r="F459" s="13"/>
      <c r="G459" s="13"/>
    </row>
    <row r="460" customFormat="false" ht="15" hidden="false" customHeight="false" outlineLevel="0" collapsed="false">
      <c r="A460" s="13"/>
      <c r="B460" s="13"/>
      <c r="C460" s="14"/>
      <c r="D460" s="15"/>
      <c r="E460" s="13"/>
      <c r="F460" s="13"/>
      <c r="G460" s="13"/>
    </row>
    <row r="461" customFormat="false" ht="15" hidden="false" customHeight="false" outlineLevel="0" collapsed="false">
      <c r="A461" s="13"/>
      <c r="B461" s="13"/>
      <c r="C461" s="14"/>
      <c r="D461" s="15"/>
      <c r="E461" s="13"/>
      <c r="F461" s="13"/>
      <c r="G461" s="13"/>
    </row>
    <row r="462" customFormat="false" ht="15" hidden="false" customHeight="false" outlineLevel="0" collapsed="false">
      <c r="A462" s="13"/>
      <c r="B462" s="13"/>
      <c r="C462" s="14"/>
      <c r="D462" s="15"/>
      <c r="E462" s="13"/>
      <c r="F462" s="13"/>
      <c r="G462" s="13"/>
    </row>
    <row r="463" customFormat="false" ht="15" hidden="false" customHeight="false" outlineLevel="0" collapsed="false">
      <c r="A463" s="13"/>
      <c r="B463" s="13"/>
      <c r="C463" s="14"/>
      <c r="D463" s="15"/>
      <c r="E463" s="13"/>
      <c r="F463" s="13"/>
      <c r="G463" s="13"/>
    </row>
    <row r="464" customFormat="false" ht="15" hidden="false" customHeight="false" outlineLevel="0" collapsed="false">
      <c r="A464" s="13"/>
      <c r="B464" s="13"/>
      <c r="C464" s="14"/>
      <c r="D464" s="15"/>
      <c r="E464" s="13"/>
      <c r="F464" s="13"/>
      <c r="G464" s="13"/>
    </row>
    <row r="465" customFormat="false" ht="15" hidden="false" customHeight="false" outlineLevel="0" collapsed="false">
      <c r="A465" s="13"/>
      <c r="B465" s="13"/>
      <c r="C465" s="14"/>
      <c r="D465" s="15"/>
      <c r="E465" s="13"/>
      <c r="F465" s="13"/>
      <c r="G465" s="13"/>
    </row>
    <row r="466" customFormat="false" ht="15" hidden="false" customHeight="false" outlineLevel="0" collapsed="false">
      <c r="A466" s="13"/>
      <c r="B466" s="13"/>
      <c r="C466" s="14"/>
      <c r="D466" s="15"/>
      <c r="E466" s="13"/>
      <c r="F466" s="13"/>
      <c r="G466" s="13"/>
    </row>
    <row r="467" customFormat="false" ht="15" hidden="false" customHeight="false" outlineLevel="0" collapsed="false">
      <c r="A467" s="13"/>
      <c r="B467" s="13"/>
      <c r="C467" s="14"/>
      <c r="D467" s="15"/>
      <c r="E467" s="13"/>
      <c r="F467" s="13"/>
      <c r="G467" s="13"/>
    </row>
    <row r="468" customFormat="false" ht="15" hidden="false" customHeight="false" outlineLevel="0" collapsed="false">
      <c r="A468" s="13"/>
      <c r="B468" s="13"/>
      <c r="C468" s="14"/>
      <c r="D468" s="15"/>
      <c r="E468" s="13"/>
      <c r="F468" s="13"/>
      <c r="G468" s="13"/>
    </row>
    <row r="469" customFormat="false" ht="15" hidden="false" customHeight="false" outlineLevel="0" collapsed="false">
      <c r="A469" s="13"/>
      <c r="B469" s="13"/>
      <c r="C469" s="14"/>
      <c r="D469" s="15"/>
      <c r="E469" s="13"/>
      <c r="F469" s="13"/>
      <c r="G469" s="13"/>
    </row>
    <row r="470" customFormat="false" ht="15" hidden="false" customHeight="false" outlineLevel="0" collapsed="false">
      <c r="A470" s="13"/>
      <c r="B470" s="13"/>
      <c r="C470" s="14"/>
      <c r="D470" s="15"/>
      <c r="E470" s="13"/>
      <c r="F470" s="13"/>
      <c r="G470" s="13"/>
    </row>
    <row r="471" customFormat="false" ht="15" hidden="false" customHeight="false" outlineLevel="0" collapsed="false">
      <c r="A471" s="13"/>
      <c r="B471" s="13"/>
      <c r="C471" s="14"/>
      <c r="D471" s="15"/>
      <c r="E471" s="13"/>
      <c r="F471" s="13"/>
      <c r="G471" s="13"/>
    </row>
    <row r="472" customFormat="false" ht="15" hidden="false" customHeight="false" outlineLevel="0" collapsed="false">
      <c r="A472" s="13"/>
      <c r="B472" s="13"/>
      <c r="C472" s="14"/>
      <c r="D472" s="15"/>
      <c r="E472" s="13"/>
      <c r="F472" s="13"/>
      <c r="G472" s="13"/>
    </row>
    <row r="473" customFormat="false" ht="15" hidden="false" customHeight="false" outlineLevel="0" collapsed="false">
      <c r="A473" s="13"/>
      <c r="B473" s="13"/>
      <c r="C473" s="14"/>
      <c r="D473" s="15"/>
      <c r="E473" s="13"/>
      <c r="F473" s="13"/>
      <c r="G473" s="13"/>
    </row>
    <row r="474" customFormat="false" ht="15" hidden="false" customHeight="false" outlineLevel="0" collapsed="false">
      <c r="A474" s="13"/>
      <c r="B474" s="13"/>
      <c r="C474" s="14"/>
      <c r="D474" s="15"/>
      <c r="E474" s="13"/>
      <c r="F474" s="13"/>
      <c r="G474" s="13"/>
    </row>
    <row r="475" customFormat="false" ht="15" hidden="false" customHeight="false" outlineLevel="0" collapsed="false">
      <c r="A475" s="13"/>
      <c r="B475" s="13"/>
      <c r="C475" s="14"/>
      <c r="D475" s="15"/>
      <c r="E475" s="13"/>
      <c r="F475" s="13"/>
      <c r="G475" s="13"/>
    </row>
    <row r="476" customFormat="false" ht="15" hidden="false" customHeight="false" outlineLevel="0" collapsed="false">
      <c r="A476" s="13"/>
      <c r="B476" s="13"/>
      <c r="C476" s="14"/>
      <c r="D476" s="15"/>
      <c r="E476" s="13"/>
      <c r="F476" s="13"/>
      <c r="G476" s="13"/>
    </row>
    <row r="477" customFormat="false" ht="15" hidden="false" customHeight="false" outlineLevel="0" collapsed="false">
      <c r="A477" s="13"/>
      <c r="B477" s="13"/>
      <c r="C477" s="14"/>
      <c r="D477" s="15"/>
      <c r="E477" s="13"/>
      <c r="F477" s="13"/>
      <c r="G477" s="13"/>
    </row>
    <row r="478" customFormat="false" ht="15" hidden="false" customHeight="false" outlineLevel="0" collapsed="false">
      <c r="A478" s="13"/>
      <c r="B478" s="13"/>
      <c r="C478" s="14"/>
      <c r="D478" s="15"/>
      <c r="E478" s="13"/>
      <c r="F478" s="13"/>
      <c r="G478" s="13"/>
    </row>
    <row r="479" customFormat="false" ht="15" hidden="false" customHeight="false" outlineLevel="0" collapsed="false">
      <c r="A479" s="13"/>
      <c r="B479" s="13"/>
      <c r="C479" s="14"/>
      <c r="D479" s="15"/>
      <c r="E479" s="13"/>
      <c r="F479" s="13"/>
      <c r="G479" s="13"/>
    </row>
    <row r="480" customFormat="false" ht="15" hidden="false" customHeight="false" outlineLevel="0" collapsed="false">
      <c r="A480" s="13"/>
      <c r="B480" s="13"/>
      <c r="C480" s="14"/>
      <c r="D480" s="15"/>
      <c r="E480" s="13"/>
      <c r="F480" s="13"/>
      <c r="G480" s="13"/>
    </row>
    <row r="481" customFormat="false" ht="15" hidden="false" customHeight="false" outlineLevel="0" collapsed="false">
      <c r="A481" s="13"/>
      <c r="B481" s="13"/>
      <c r="C481" s="14"/>
      <c r="D481" s="15"/>
      <c r="E481" s="13"/>
      <c r="F481" s="13"/>
      <c r="G481" s="13"/>
    </row>
    <row r="482" customFormat="false" ht="15" hidden="false" customHeight="false" outlineLevel="0" collapsed="false">
      <c r="A482" s="13"/>
      <c r="B482" s="13"/>
      <c r="C482" s="14"/>
      <c r="D482" s="15"/>
      <c r="E482" s="13"/>
      <c r="F482" s="13"/>
      <c r="G482" s="13"/>
    </row>
    <row r="483" customFormat="false" ht="15" hidden="false" customHeight="false" outlineLevel="0" collapsed="false">
      <c r="A483" s="13"/>
      <c r="B483" s="13"/>
      <c r="C483" s="14"/>
      <c r="D483" s="15"/>
      <c r="E483" s="13"/>
      <c r="F483" s="13"/>
      <c r="G483" s="13"/>
    </row>
    <row r="484" customFormat="false" ht="15" hidden="false" customHeight="false" outlineLevel="0" collapsed="false">
      <c r="A484" s="13"/>
      <c r="B484" s="13"/>
      <c r="C484" s="14"/>
      <c r="D484" s="15"/>
      <c r="E484" s="13"/>
      <c r="F484" s="13"/>
      <c r="G484" s="13"/>
    </row>
    <row r="485" customFormat="false" ht="15" hidden="false" customHeight="false" outlineLevel="0" collapsed="false">
      <c r="A485" s="13"/>
      <c r="B485" s="13"/>
      <c r="C485" s="14"/>
      <c r="D485" s="15"/>
      <c r="E485" s="13"/>
      <c r="F485" s="13"/>
      <c r="G485" s="13"/>
    </row>
    <row r="486" customFormat="false" ht="15" hidden="false" customHeight="false" outlineLevel="0" collapsed="false">
      <c r="A486" s="13"/>
      <c r="B486" s="13"/>
      <c r="C486" s="14"/>
      <c r="D486" s="15"/>
      <c r="E486" s="13"/>
      <c r="F486" s="13"/>
      <c r="G486" s="13"/>
    </row>
    <row r="487" customFormat="false" ht="15" hidden="false" customHeight="false" outlineLevel="0" collapsed="false">
      <c r="A487" s="13"/>
      <c r="B487" s="13"/>
      <c r="C487" s="14"/>
      <c r="D487" s="15"/>
      <c r="E487" s="13"/>
      <c r="F487" s="13"/>
      <c r="G487" s="13"/>
    </row>
    <row r="488" customFormat="false" ht="15" hidden="false" customHeight="false" outlineLevel="0" collapsed="false">
      <c r="A488" s="13"/>
      <c r="B488" s="13"/>
      <c r="C488" s="14"/>
      <c r="D488" s="15"/>
      <c r="E488" s="13"/>
      <c r="F488" s="13"/>
      <c r="G488" s="13"/>
    </row>
    <row r="489" customFormat="false" ht="15" hidden="false" customHeight="false" outlineLevel="0" collapsed="false">
      <c r="A489" s="13"/>
      <c r="B489" s="13"/>
      <c r="C489" s="14"/>
      <c r="D489" s="15"/>
      <c r="E489" s="13"/>
      <c r="F489" s="13"/>
      <c r="G489" s="13"/>
    </row>
    <row r="490" customFormat="false" ht="15" hidden="false" customHeight="false" outlineLevel="0" collapsed="false">
      <c r="A490" s="13"/>
      <c r="B490" s="13"/>
      <c r="C490" s="14"/>
      <c r="D490" s="15"/>
      <c r="E490" s="13"/>
      <c r="F490" s="13"/>
      <c r="G490" s="13"/>
    </row>
    <row r="491" customFormat="false" ht="15" hidden="false" customHeight="false" outlineLevel="0" collapsed="false">
      <c r="A491" s="13"/>
      <c r="B491" s="13"/>
      <c r="C491" s="14"/>
      <c r="D491" s="15"/>
      <c r="E491" s="13"/>
      <c r="F491" s="13"/>
      <c r="G491" s="13"/>
    </row>
    <row r="492" customFormat="false" ht="15" hidden="false" customHeight="false" outlineLevel="0" collapsed="false">
      <c r="A492" s="13"/>
      <c r="B492" s="13"/>
      <c r="C492" s="14"/>
      <c r="D492" s="15"/>
      <c r="E492" s="13"/>
      <c r="F492" s="13"/>
      <c r="G492" s="13"/>
    </row>
    <row r="493" customFormat="false" ht="15" hidden="false" customHeight="false" outlineLevel="0" collapsed="false">
      <c r="A493" s="13"/>
      <c r="B493" s="13"/>
      <c r="C493" s="14"/>
      <c r="D493" s="15"/>
      <c r="E493" s="13"/>
      <c r="F493" s="13"/>
      <c r="G493" s="13"/>
    </row>
    <row r="494" customFormat="false" ht="15" hidden="false" customHeight="false" outlineLevel="0" collapsed="false">
      <c r="A494" s="13"/>
      <c r="B494" s="13"/>
      <c r="C494" s="14"/>
      <c r="D494" s="15"/>
      <c r="E494" s="13"/>
      <c r="F494" s="13"/>
      <c r="G494" s="13"/>
    </row>
    <row r="495" customFormat="false" ht="15" hidden="false" customHeight="false" outlineLevel="0" collapsed="false">
      <c r="A495" s="13"/>
      <c r="B495" s="13"/>
      <c r="C495" s="14"/>
      <c r="D495" s="15"/>
      <c r="E495" s="13"/>
      <c r="F495" s="13"/>
      <c r="G495" s="13"/>
    </row>
    <row r="496" customFormat="false" ht="15" hidden="false" customHeight="false" outlineLevel="0" collapsed="false">
      <c r="A496" s="13"/>
      <c r="B496" s="13"/>
      <c r="C496" s="14"/>
      <c r="D496" s="15"/>
      <c r="E496" s="13"/>
      <c r="F496" s="13"/>
      <c r="G496" s="13"/>
    </row>
    <row r="497" customFormat="false" ht="15" hidden="false" customHeight="false" outlineLevel="0" collapsed="false">
      <c r="A497" s="13"/>
      <c r="B497" s="13"/>
      <c r="C497" s="14"/>
      <c r="D497" s="15"/>
      <c r="E497" s="13"/>
      <c r="F497" s="13"/>
      <c r="G497" s="13"/>
    </row>
    <row r="498" customFormat="false" ht="15" hidden="false" customHeight="false" outlineLevel="0" collapsed="false">
      <c r="A498" s="13"/>
      <c r="B498" s="13"/>
      <c r="C498" s="14"/>
      <c r="D498" s="15"/>
      <c r="E498" s="13"/>
      <c r="F498" s="13"/>
      <c r="G498" s="13"/>
    </row>
    <row r="499" customFormat="false" ht="15" hidden="false" customHeight="false" outlineLevel="0" collapsed="false">
      <c r="A499" s="13"/>
      <c r="B499" s="13"/>
      <c r="C499" s="14"/>
      <c r="D499" s="15"/>
      <c r="E499" s="13"/>
      <c r="F499" s="13"/>
      <c r="G499" s="13"/>
    </row>
    <row r="500" customFormat="false" ht="15" hidden="false" customHeight="false" outlineLevel="0" collapsed="false">
      <c r="A500" s="13"/>
      <c r="B500" s="13"/>
      <c r="C500" s="14"/>
      <c r="D500" s="15"/>
      <c r="E500" s="13"/>
      <c r="F500" s="13"/>
      <c r="G500" s="13"/>
    </row>
    <row r="501" customFormat="false" ht="15" hidden="false" customHeight="false" outlineLevel="0" collapsed="false">
      <c r="A501" s="13"/>
      <c r="B501" s="13"/>
      <c r="C501" s="14"/>
      <c r="D501" s="15"/>
      <c r="E501" s="13"/>
      <c r="F501" s="13"/>
      <c r="G501" s="13"/>
    </row>
  </sheetData>
  <dataValidations count="1">
    <dataValidation allowBlank="true" errorStyle="stop" operator="between" showDropDown="false" showErrorMessage="false" showInputMessage="false" sqref="E3:E501" type="list">
      <formula1>_listas!$F$1:$F$5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192</v>
      </c>
      <c r="B1" s="6" t="s">
        <v>84</v>
      </c>
      <c r="C1" s="6" t="s">
        <v>193</v>
      </c>
      <c r="D1" s="6" t="s">
        <v>194</v>
      </c>
      <c r="E1" s="6" t="s">
        <v>195</v>
      </c>
      <c r="F1" s="6" t="s">
        <v>168</v>
      </c>
      <c r="G1" s="6" t="s">
        <v>196</v>
      </c>
      <c r="H1" s="6" t="s">
        <v>197</v>
      </c>
      <c r="I1" s="6" t="s">
        <v>100</v>
      </c>
    </row>
    <row r="2" customFormat="false" ht="15" hidden="false" customHeight="false" outlineLevel="0" collapsed="false">
      <c r="A2" s="22" t="s">
        <v>198</v>
      </c>
      <c r="B2" s="22" t="s">
        <v>199</v>
      </c>
      <c r="C2" s="22" t="s">
        <v>49</v>
      </c>
      <c r="D2" s="22" t="s">
        <v>200</v>
      </c>
      <c r="E2" s="22" t="s">
        <v>201</v>
      </c>
      <c r="F2" s="23" t="n">
        <v>15000</v>
      </c>
      <c r="G2" s="22" t="s">
        <v>50</v>
      </c>
      <c r="H2" s="22" t="s">
        <v>202</v>
      </c>
      <c r="I2" s="22" t="s">
        <v>106</v>
      </c>
    </row>
    <row r="3" customFormat="false" ht="15" hidden="false" customHeight="false" outlineLevel="0" collapsed="false">
      <c r="A3" s="13"/>
      <c r="B3" s="14"/>
      <c r="C3" s="13"/>
      <c r="D3" s="13"/>
      <c r="E3" s="13"/>
      <c r="F3" s="15"/>
      <c r="G3" s="13"/>
      <c r="H3" s="13"/>
      <c r="I3" s="13"/>
    </row>
    <row r="4" customFormat="false" ht="15" hidden="false" customHeight="false" outlineLevel="0" collapsed="false">
      <c r="A4" s="13"/>
      <c r="B4" s="14"/>
      <c r="C4" s="13"/>
      <c r="D4" s="13"/>
      <c r="E4" s="13"/>
      <c r="F4" s="15"/>
      <c r="G4" s="13"/>
      <c r="H4" s="13"/>
      <c r="I4" s="13"/>
    </row>
    <row r="5" customFormat="false" ht="15" hidden="false" customHeight="false" outlineLevel="0" collapsed="false">
      <c r="A5" s="13"/>
      <c r="B5" s="14"/>
      <c r="C5" s="13"/>
      <c r="D5" s="13"/>
      <c r="E5" s="13"/>
      <c r="F5" s="15"/>
      <c r="G5" s="13"/>
      <c r="H5" s="13"/>
      <c r="I5" s="13"/>
    </row>
    <row r="6" customFormat="false" ht="15" hidden="false" customHeight="false" outlineLevel="0" collapsed="false">
      <c r="A6" s="13"/>
      <c r="B6" s="14"/>
      <c r="C6" s="13"/>
      <c r="D6" s="13"/>
      <c r="E6" s="13"/>
      <c r="F6" s="15"/>
      <c r="G6" s="13"/>
      <c r="H6" s="13"/>
      <c r="I6" s="13"/>
    </row>
    <row r="7" customFormat="false" ht="15" hidden="false" customHeight="false" outlineLevel="0" collapsed="false">
      <c r="A7" s="13"/>
      <c r="B7" s="14"/>
      <c r="C7" s="13"/>
      <c r="D7" s="13"/>
      <c r="E7" s="13"/>
      <c r="F7" s="15"/>
      <c r="G7" s="13"/>
      <c r="H7" s="13"/>
      <c r="I7" s="13"/>
    </row>
    <row r="8" customFormat="false" ht="15" hidden="false" customHeight="false" outlineLevel="0" collapsed="false">
      <c r="A8" s="13"/>
      <c r="B8" s="14"/>
      <c r="C8" s="13"/>
      <c r="D8" s="13"/>
      <c r="E8" s="13"/>
      <c r="F8" s="15"/>
      <c r="G8" s="13"/>
      <c r="H8" s="13"/>
      <c r="I8" s="13"/>
    </row>
    <row r="9" customFormat="false" ht="15" hidden="false" customHeight="false" outlineLevel="0" collapsed="false">
      <c r="A9" s="13"/>
      <c r="B9" s="14"/>
      <c r="C9" s="13"/>
      <c r="D9" s="13"/>
      <c r="E9" s="13"/>
      <c r="F9" s="15"/>
      <c r="G9" s="13"/>
      <c r="H9" s="13"/>
      <c r="I9" s="13"/>
    </row>
    <row r="10" customFormat="false" ht="15" hidden="false" customHeight="false" outlineLevel="0" collapsed="false">
      <c r="A10" s="13"/>
      <c r="B10" s="14"/>
      <c r="C10" s="13"/>
      <c r="D10" s="13"/>
      <c r="E10" s="13"/>
      <c r="F10" s="15"/>
      <c r="G10" s="13"/>
      <c r="H10" s="13"/>
      <c r="I10" s="13"/>
    </row>
    <row r="11" customFormat="false" ht="15" hidden="false" customHeight="false" outlineLevel="0" collapsed="false">
      <c r="A11" s="13"/>
      <c r="B11" s="14"/>
      <c r="C11" s="13"/>
      <c r="D11" s="13"/>
      <c r="E11" s="13"/>
      <c r="F11" s="15"/>
      <c r="G11" s="13"/>
      <c r="H11" s="13"/>
      <c r="I11" s="13"/>
    </row>
    <row r="12" customFormat="false" ht="15" hidden="false" customHeight="false" outlineLevel="0" collapsed="false">
      <c r="A12" s="13"/>
      <c r="B12" s="14"/>
      <c r="C12" s="13"/>
      <c r="D12" s="13"/>
      <c r="E12" s="13"/>
      <c r="F12" s="15"/>
      <c r="G12" s="13"/>
      <c r="H12" s="13"/>
      <c r="I12" s="13"/>
    </row>
    <row r="13" customFormat="false" ht="15" hidden="false" customHeight="false" outlineLevel="0" collapsed="false">
      <c r="A13" s="13"/>
      <c r="B13" s="14"/>
      <c r="C13" s="13"/>
      <c r="D13" s="13"/>
      <c r="E13" s="13"/>
      <c r="F13" s="15"/>
      <c r="G13" s="13"/>
      <c r="H13" s="13"/>
      <c r="I13" s="13"/>
    </row>
    <row r="14" customFormat="false" ht="15" hidden="false" customHeight="false" outlineLevel="0" collapsed="false">
      <c r="A14" s="13"/>
      <c r="B14" s="14"/>
      <c r="C14" s="13"/>
      <c r="D14" s="13"/>
      <c r="E14" s="13"/>
      <c r="F14" s="15"/>
      <c r="G14" s="13"/>
      <c r="H14" s="13"/>
      <c r="I14" s="13"/>
    </row>
    <row r="15" customFormat="false" ht="15" hidden="false" customHeight="false" outlineLevel="0" collapsed="false">
      <c r="A15" s="13"/>
      <c r="B15" s="14"/>
      <c r="C15" s="13"/>
      <c r="D15" s="13"/>
      <c r="E15" s="13"/>
      <c r="F15" s="15"/>
      <c r="G15" s="13"/>
      <c r="H15" s="13"/>
      <c r="I15" s="13"/>
    </row>
    <row r="16" customFormat="false" ht="15" hidden="false" customHeight="false" outlineLevel="0" collapsed="false">
      <c r="A16" s="13"/>
      <c r="B16" s="14"/>
      <c r="C16" s="13"/>
      <c r="D16" s="13"/>
      <c r="E16" s="13"/>
      <c r="F16" s="15"/>
      <c r="G16" s="13"/>
      <c r="H16" s="13"/>
      <c r="I16" s="13"/>
    </row>
    <row r="17" customFormat="false" ht="15" hidden="false" customHeight="false" outlineLevel="0" collapsed="false">
      <c r="A17" s="13"/>
      <c r="B17" s="14"/>
      <c r="C17" s="13"/>
      <c r="D17" s="13"/>
      <c r="E17" s="13"/>
      <c r="F17" s="15"/>
      <c r="G17" s="13"/>
      <c r="H17" s="13"/>
      <c r="I17" s="13"/>
    </row>
    <row r="18" customFormat="false" ht="15" hidden="false" customHeight="false" outlineLevel="0" collapsed="false">
      <c r="A18" s="13"/>
      <c r="B18" s="14"/>
      <c r="C18" s="13"/>
      <c r="D18" s="13"/>
      <c r="E18" s="13"/>
      <c r="F18" s="15"/>
      <c r="G18" s="13"/>
      <c r="H18" s="13"/>
      <c r="I18" s="13"/>
    </row>
    <row r="19" customFormat="false" ht="15" hidden="false" customHeight="false" outlineLevel="0" collapsed="false">
      <c r="A19" s="13"/>
      <c r="B19" s="14"/>
      <c r="C19" s="13"/>
      <c r="D19" s="13"/>
      <c r="E19" s="13"/>
      <c r="F19" s="15"/>
      <c r="G19" s="13"/>
      <c r="H19" s="13"/>
      <c r="I19" s="13"/>
    </row>
    <row r="20" customFormat="false" ht="15" hidden="false" customHeight="false" outlineLevel="0" collapsed="false">
      <c r="A20" s="13"/>
      <c r="B20" s="14"/>
      <c r="C20" s="13"/>
      <c r="D20" s="13"/>
      <c r="E20" s="13"/>
      <c r="F20" s="15"/>
      <c r="G20" s="13"/>
      <c r="H20" s="13"/>
      <c r="I20" s="13"/>
    </row>
    <row r="21" customFormat="false" ht="15" hidden="false" customHeight="false" outlineLevel="0" collapsed="false">
      <c r="A21" s="13"/>
      <c r="B21" s="14"/>
      <c r="C21" s="13"/>
      <c r="D21" s="13"/>
      <c r="E21" s="13"/>
      <c r="F21" s="15"/>
      <c r="G21" s="13"/>
      <c r="H21" s="13"/>
      <c r="I21" s="13"/>
    </row>
    <row r="22" customFormat="false" ht="15" hidden="false" customHeight="false" outlineLevel="0" collapsed="false">
      <c r="A22" s="13"/>
      <c r="B22" s="14"/>
      <c r="C22" s="13"/>
      <c r="D22" s="13"/>
      <c r="E22" s="13"/>
      <c r="F22" s="15"/>
      <c r="G22" s="13"/>
      <c r="H22" s="13"/>
      <c r="I22" s="13"/>
    </row>
    <row r="23" customFormat="false" ht="15" hidden="false" customHeight="false" outlineLevel="0" collapsed="false">
      <c r="A23" s="13"/>
      <c r="B23" s="14"/>
      <c r="C23" s="13"/>
      <c r="D23" s="13"/>
      <c r="E23" s="13"/>
      <c r="F23" s="15"/>
      <c r="G23" s="13"/>
      <c r="H23" s="13"/>
      <c r="I23" s="13"/>
    </row>
    <row r="24" customFormat="false" ht="15" hidden="false" customHeight="false" outlineLevel="0" collapsed="false">
      <c r="A24" s="13"/>
      <c r="B24" s="14"/>
      <c r="C24" s="13"/>
      <c r="D24" s="13"/>
      <c r="E24" s="13"/>
      <c r="F24" s="15"/>
      <c r="G24" s="13"/>
      <c r="H24" s="13"/>
      <c r="I24" s="13"/>
    </row>
    <row r="25" customFormat="false" ht="15" hidden="false" customHeight="false" outlineLevel="0" collapsed="false">
      <c r="A25" s="13"/>
      <c r="B25" s="14"/>
      <c r="C25" s="13"/>
      <c r="D25" s="13"/>
      <c r="E25" s="13"/>
      <c r="F25" s="15"/>
      <c r="G25" s="13"/>
      <c r="H25" s="13"/>
      <c r="I25" s="13"/>
    </row>
    <row r="26" customFormat="false" ht="15" hidden="false" customHeight="false" outlineLevel="0" collapsed="false">
      <c r="A26" s="13"/>
      <c r="B26" s="14"/>
      <c r="C26" s="13"/>
      <c r="D26" s="13"/>
      <c r="E26" s="13"/>
      <c r="F26" s="15"/>
      <c r="G26" s="13"/>
      <c r="H26" s="13"/>
      <c r="I26" s="13"/>
    </row>
    <row r="27" customFormat="false" ht="15" hidden="false" customHeight="false" outlineLevel="0" collapsed="false">
      <c r="A27" s="13"/>
      <c r="B27" s="14"/>
      <c r="C27" s="13"/>
      <c r="D27" s="13"/>
      <c r="E27" s="13"/>
      <c r="F27" s="15"/>
      <c r="G27" s="13"/>
      <c r="H27" s="13"/>
      <c r="I27" s="13"/>
    </row>
    <row r="28" customFormat="false" ht="15" hidden="false" customHeight="false" outlineLevel="0" collapsed="false">
      <c r="A28" s="13"/>
      <c r="B28" s="14"/>
      <c r="C28" s="13"/>
      <c r="D28" s="13"/>
      <c r="E28" s="13"/>
      <c r="F28" s="15"/>
      <c r="G28" s="13"/>
      <c r="H28" s="13"/>
      <c r="I28" s="13"/>
    </row>
    <row r="29" customFormat="false" ht="15" hidden="false" customHeight="false" outlineLevel="0" collapsed="false">
      <c r="A29" s="13"/>
      <c r="B29" s="14"/>
      <c r="C29" s="13"/>
      <c r="D29" s="13"/>
      <c r="E29" s="13"/>
      <c r="F29" s="15"/>
      <c r="G29" s="13"/>
      <c r="H29" s="13"/>
      <c r="I29" s="13"/>
    </row>
    <row r="30" customFormat="false" ht="15" hidden="false" customHeight="false" outlineLevel="0" collapsed="false">
      <c r="A30" s="13"/>
      <c r="B30" s="14"/>
      <c r="C30" s="13"/>
      <c r="D30" s="13"/>
      <c r="E30" s="13"/>
      <c r="F30" s="15"/>
      <c r="G30" s="13"/>
      <c r="H30" s="13"/>
      <c r="I30" s="13"/>
    </row>
    <row r="31" customFormat="false" ht="15" hidden="false" customHeight="false" outlineLevel="0" collapsed="false">
      <c r="A31" s="13"/>
      <c r="B31" s="14"/>
      <c r="C31" s="13"/>
      <c r="D31" s="13"/>
      <c r="E31" s="13"/>
      <c r="F31" s="15"/>
      <c r="G31" s="13"/>
      <c r="H31" s="13"/>
      <c r="I31" s="13"/>
    </row>
    <row r="32" customFormat="false" ht="15" hidden="false" customHeight="false" outlineLevel="0" collapsed="false">
      <c r="A32" s="13"/>
      <c r="B32" s="14"/>
      <c r="C32" s="13"/>
      <c r="D32" s="13"/>
      <c r="E32" s="13"/>
      <c r="F32" s="15"/>
      <c r="G32" s="13"/>
      <c r="H32" s="13"/>
      <c r="I32" s="13"/>
    </row>
    <row r="33" customFormat="false" ht="15" hidden="false" customHeight="false" outlineLevel="0" collapsed="false">
      <c r="A33" s="13"/>
      <c r="B33" s="14"/>
      <c r="C33" s="13"/>
      <c r="D33" s="13"/>
      <c r="E33" s="13"/>
      <c r="F33" s="15"/>
      <c r="G33" s="13"/>
      <c r="H33" s="13"/>
      <c r="I33" s="13"/>
    </row>
    <row r="34" customFormat="false" ht="15" hidden="false" customHeight="false" outlineLevel="0" collapsed="false">
      <c r="A34" s="13"/>
      <c r="B34" s="14"/>
      <c r="C34" s="13"/>
      <c r="D34" s="13"/>
      <c r="E34" s="13"/>
      <c r="F34" s="15"/>
      <c r="G34" s="13"/>
      <c r="H34" s="13"/>
      <c r="I34" s="13"/>
    </row>
    <row r="35" customFormat="false" ht="15" hidden="false" customHeight="false" outlineLevel="0" collapsed="false">
      <c r="A35" s="13"/>
      <c r="B35" s="14"/>
      <c r="C35" s="13"/>
      <c r="D35" s="13"/>
      <c r="E35" s="13"/>
      <c r="F35" s="15"/>
      <c r="G35" s="13"/>
      <c r="H35" s="13"/>
      <c r="I35" s="13"/>
    </row>
    <row r="36" customFormat="false" ht="15" hidden="false" customHeight="false" outlineLevel="0" collapsed="false">
      <c r="A36" s="13"/>
      <c r="B36" s="14"/>
      <c r="C36" s="13"/>
      <c r="D36" s="13"/>
      <c r="E36" s="13"/>
      <c r="F36" s="15"/>
      <c r="G36" s="13"/>
      <c r="H36" s="13"/>
      <c r="I36" s="13"/>
    </row>
    <row r="37" customFormat="false" ht="15" hidden="false" customHeight="false" outlineLevel="0" collapsed="false">
      <c r="A37" s="13"/>
      <c r="B37" s="14"/>
      <c r="C37" s="13"/>
      <c r="D37" s="13"/>
      <c r="E37" s="13"/>
      <c r="F37" s="15"/>
      <c r="G37" s="13"/>
      <c r="H37" s="13"/>
      <c r="I37" s="13"/>
    </row>
    <row r="38" customFormat="false" ht="15" hidden="false" customHeight="false" outlineLevel="0" collapsed="false">
      <c r="A38" s="13"/>
      <c r="B38" s="14"/>
      <c r="C38" s="13"/>
      <c r="D38" s="13"/>
      <c r="E38" s="13"/>
      <c r="F38" s="15"/>
      <c r="G38" s="13"/>
      <c r="H38" s="13"/>
      <c r="I38" s="13"/>
    </row>
    <row r="39" customFormat="false" ht="15" hidden="false" customHeight="false" outlineLevel="0" collapsed="false">
      <c r="A39" s="13"/>
      <c r="B39" s="14"/>
      <c r="C39" s="13"/>
      <c r="D39" s="13"/>
      <c r="E39" s="13"/>
      <c r="F39" s="15"/>
      <c r="G39" s="13"/>
      <c r="H39" s="13"/>
      <c r="I39" s="13"/>
    </row>
    <row r="40" customFormat="false" ht="15" hidden="false" customHeight="false" outlineLevel="0" collapsed="false">
      <c r="A40" s="13"/>
      <c r="B40" s="14"/>
      <c r="C40" s="13"/>
      <c r="D40" s="13"/>
      <c r="E40" s="13"/>
      <c r="F40" s="15"/>
      <c r="G40" s="13"/>
      <c r="H40" s="13"/>
      <c r="I40" s="13"/>
    </row>
    <row r="41" customFormat="false" ht="15" hidden="false" customHeight="false" outlineLevel="0" collapsed="false">
      <c r="A41" s="13"/>
      <c r="B41" s="14"/>
      <c r="C41" s="13"/>
      <c r="D41" s="13"/>
      <c r="E41" s="13"/>
      <c r="F41" s="15"/>
      <c r="G41" s="13"/>
      <c r="H41" s="13"/>
      <c r="I41" s="13"/>
    </row>
    <row r="42" customFormat="false" ht="15" hidden="false" customHeight="false" outlineLevel="0" collapsed="false">
      <c r="A42" s="13"/>
      <c r="B42" s="14"/>
      <c r="C42" s="13"/>
      <c r="D42" s="13"/>
      <c r="E42" s="13"/>
      <c r="F42" s="15"/>
      <c r="G42" s="13"/>
      <c r="H42" s="13"/>
      <c r="I42" s="13"/>
    </row>
    <row r="43" customFormat="false" ht="15" hidden="false" customHeight="false" outlineLevel="0" collapsed="false">
      <c r="A43" s="13"/>
      <c r="B43" s="14"/>
      <c r="C43" s="13"/>
      <c r="D43" s="13"/>
      <c r="E43" s="13"/>
      <c r="F43" s="15"/>
      <c r="G43" s="13"/>
      <c r="H43" s="13"/>
      <c r="I43" s="13"/>
    </row>
    <row r="44" customFormat="false" ht="15" hidden="false" customHeight="false" outlineLevel="0" collapsed="false">
      <c r="A44" s="13"/>
      <c r="B44" s="14"/>
      <c r="C44" s="13"/>
      <c r="D44" s="13"/>
      <c r="E44" s="13"/>
      <c r="F44" s="15"/>
      <c r="G44" s="13"/>
      <c r="H44" s="13"/>
      <c r="I44" s="13"/>
    </row>
    <row r="45" customFormat="false" ht="15" hidden="false" customHeight="false" outlineLevel="0" collapsed="false">
      <c r="A45" s="13"/>
      <c r="B45" s="14"/>
      <c r="C45" s="13"/>
      <c r="D45" s="13"/>
      <c r="E45" s="13"/>
      <c r="F45" s="15"/>
      <c r="G45" s="13"/>
      <c r="H45" s="13"/>
      <c r="I45" s="13"/>
    </row>
    <row r="46" customFormat="false" ht="15" hidden="false" customHeight="false" outlineLevel="0" collapsed="false">
      <c r="A46" s="13"/>
      <c r="B46" s="14"/>
      <c r="C46" s="13"/>
      <c r="D46" s="13"/>
      <c r="E46" s="13"/>
      <c r="F46" s="15"/>
      <c r="G46" s="13"/>
      <c r="H46" s="13"/>
      <c r="I46" s="13"/>
    </row>
    <row r="47" customFormat="false" ht="15" hidden="false" customHeight="false" outlineLevel="0" collapsed="false">
      <c r="A47" s="13"/>
      <c r="B47" s="14"/>
      <c r="C47" s="13"/>
      <c r="D47" s="13"/>
      <c r="E47" s="13"/>
      <c r="F47" s="15"/>
      <c r="G47" s="13"/>
      <c r="H47" s="13"/>
      <c r="I47" s="13"/>
    </row>
    <row r="48" customFormat="false" ht="15" hidden="false" customHeight="false" outlineLevel="0" collapsed="false">
      <c r="A48" s="13"/>
      <c r="B48" s="14"/>
      <c r="C48" s="13"/>
      <c r="D48" s="13"/>
      <c r="E48" s="13"/>
      <c r="F48" s="15"/>
      <c r="G48" s="13"/>
      <c r="H48" s="13"/>
      <c r="I48" s="13"/>
    </row>
    <row r="49" customFormat="false" ht="15" hidden="false" customHeight="false" outlineLevel="0" collapsed="false">
      <c r="A49" s="13"/>
      <c r="B49" s="14"/>
      <c r="C49" s="13"/>
      <c r="D49" s="13"/>
      <c r="E49" s="13"/>
      <c r="F49" s="15"/>
      <c r="G49" s="13"/>
      <c r="H49" s="13"/>
      <c r="I49" s="13"/>
    </row>
    <row r="50" customFormat="false" ht="15" hidden="false" customHeight="false" outlineLevel="0" collapsed="false">
      <c r="A50" s="13"/>
      <c r="B50" s="14"/>
      <c r="C50" s="13"/>
      <c r="D50" s="13"/>
      <c r="E50" s="13"/>
      <c r="F50" s="15"/>
      <c r="G50" s="13"/>
      <c r="H50" s="13"/>
      <c r="I50" s="13"/>
    </row>
    <row r="51" customFormat="false" ht="15" hidden="false" customHeight="false" outlineLevel="0" collapsed="false">
      <c r="A51" s="13"/>
      <c r="B51" s="14"/>
      <c r="C51" s="13"/>
      <c r="D51" s="13"/>
      <c r="E51" s="13"/>
      <c r="F51" s="15"/>
      <c r="G51" s="13"/>
      <c r="H51" s="13"/>
      <c r="I51" s="13"/>
    </row>
    <row r="52" customFormat="false" ht="15" hidden="false" customHeight="false" outlineLevel="0" collapsed="false">
      <c r="A52" s="13"/>
      <c r="B52" s="14"/>
      <c r="C52" s="13"/>
      <c r="D52" s="13"/>
      <c r="E52" s="13"/>
      <c r="F52" s="15"/>
      <c r="G52" s="13"/>
      <c r="H52" s="13"/>
      <c r="I52" s="13"/>
    </row>
    <row r="53" customFormat="false" ht="15" hidden="false" customHeight="false" outlineLevel="0" collapsed="false">
      <c r="A53" s="13"/>
      <c r="B53" s="14"/>
      <c r="C53" s="13"/>
      <c r="D53" s="13"/>
      <c r="E53" s="13"/>
      <c r="F53" s="15"/>
      <c r="G53" s="13"/>
      <c r="H53" s="13"/>
      <c r="I53" s="13"/>
    </row>
    <row r="54" customFormat="false" ht="15" hidden="false" customHeight="false" outlineLevel="0" collapsed="false">
      <c r="A54" s="13"/>
      <c r="B54" s="14"/>
      <c r="C54" s="13"/>
      <c r="D54" s="13"/>
      <c r="E54" s="13"/>
      <c r="F54" s="15"/>
      <c r="G54" s="13"/>
      <c r="H54" s="13"/>
      <c r="I54" s="13"/>
    </row>
    <row r="55" customFormat="false" ht="15" hidden="false" customHeight="false" outlineLevel="0" collapsed="false">
      <c r="A55" s="13"/>
      <c r="B55" s="14"/>
      <c r="C55" s="13"/>
      <c r="D55" s="13"/>
      <c r="E55" s="13"/>
      <c r="F55" s="15"/>
      <c r="G55" s="13"/>
      <c r="H55" s="13"/>
      <c r="I55" s="13"/>
    </row>
    <row r="56" customFormat="false" ht="15" hidden="false" customHeight="false" outlineLevel="0" collapsed="false">
      <c r="A56" s="13"/>
      <c r="B56" s="14"/>
      <c r="C56" s="13"/>
      <c r="D56" s="13"/>
      <c r="E56" s="13"/>
      <c r="F56" s="15"/>
      <c r="G56" s="13"/>
      <c r="H56" s="13"/>
      <c r="I56" s="13"/>
    </row>
    <row r="57" customFormat="false" ht="15" hidden="false" customHeight="false" outlineLevel="0" collapsed="false">
      <c r="A57" s="13"/>
      <c r="B57" s="14"/>
      <c r="C57" s="13"/>
      <c r="D57" s="13"/>
      <c r="E57" s="13"/>
      <c r="F57" s="15"/>
      <c r="G57" s="13"/>
      <c r="H57" s="13"/>
      <c r="I57" s="13"/>
    </row>
    <row r="58" customFormat="false" ht="15" hidden="false" customHeight="false" outlineLevel="0" collapsed="false">
      <c r="A58" s="13"/>
      <c r="B58" s="14"/>
      <c r="C58" s="13"/>
      <c r="D58" s="13"/>
      <c r="E58" s="13"/>
      <c r="F58" s="15"/>
      <c r="G58" s="13"/>
      <c r="H58" s="13"/>
      <c r="I58" s="13"/>
    </row>
    <row r="59" customFormat="false" ht="15" hidden="false" customHeight="false" outlineLevel="0" collapsed="false">
      <c r="A59" s="13"/>
      <c r="B59" s="14"/>
      <c r="C59" s="13"/>
      <c r="D59" s="13"/>
      <c r="E59" s="13"/>
      <c r="F59" s="15"/>
      <c r="G59" s="13"/>
      <c r="H59" s="13"/>
      <c r="I59" s="13"/>
    </row>
    <row r="60" customFormat="false" ht="15" hidden="false" customHeight="false" outlineLevel="0" collapsed="false">
      <c r="A60" s="13"/>
      <c r="B60" s="14"/>
      <c r="C60" s="13"/>
      <c r="D60" s="13"/>
      <c r="E60" s="13"/>
      <c r="F60" s="15"/>
      <c r="G60" s="13"/>
      <c r="H60" s="13"/>
      <c r="I60" s="13"/>
    </row>
    <row r="61" customFormat="false" ht="15" hidden="false" customHeight="false" outlineLevel="0" collapsed="false">
      <c r="A61" s="13"/>
      <c r="B61" s="14"/>
      <c r="C61" s="13"/>
      <c r="D61" s="13"/>
      <c r="E61" s="13"/>
      <c r="F61" s="15"/>
      <c r="G61" s="13"/>
      <c r="H61" s="13"/>
      <c r="I61" s="13"/>
    </row>
    <row r="62" customFormat="false" ht="15" hidden="false" customHeight="false" outlineLevel="0" collapsed="false">
      <c r="A62" s="13"/>
      <c r="B62" s="14"/>
      <c r="C62" s="13"/>
      <c r="D62" s="13"/>
      <c r="E62" s="13"/>
      <c r="F62" s="15"/>
      <c r="G62" s="13"/>
      <c r="H62" s="13"/>
      <c r="I62" s="13"/>
    </row>
    <row r="63" customFormat="false" ht="15" hidden="false" customHeight="false" outlineLevel="0" collapsed="false">
      <c r="A63" s="13"/>
      <c r="B63" s="14"/>
      <c r="C63" s="13"/>
      <c r="D63" s="13"/>
      <c r="E63" s="13"/>
      <c r="F63" s="15"/>
      <c r="G63" s="13"/>
      <c r="H63" s="13"/>
      <c r="I63" s="13"/>
    </row>
    <row r="64" customFormat="false" ht="15" hidden="false" customHeight="false" outlineLevel="0" collapsed="false">
      <c r="A64" s="13"/>
      <c r="B64" s="14"/>
      <c r="C64" s="13"/>
      <c r="D64" s="13"/>
      <c r="E64" s="13"/>
      <c r="F64" s="15"/>
      <c r="G64" s="13"/>
      <c r="H64" s="13"/>
      <c r="I64" s="13"/>
    </row>
    <row r="65" customFormat="false" ht="15" hidden="false" customHeight="false" outlineLevel="0" collapsed="false">
      <c r="A65" s="13"/>
      <c r="B65" s="14"/>
      <c r="C65" s="13"/>
      <c r="D65" s="13"/>
      <c r="E65" s="13"/>
      <c r="F65" s="15"/>
      <c r="G65" s="13"/>
      <c r="H65" s="13"/>
      <c r="I65" s="13"/>
    </row>
    <row r="66" customFormat="false" ht="15" hidden="false" customHeight="false" outlineLevel="0" collapsed="false">
      <c r="A66" s="13"/>
      <c r="B66" s="14"/>
      <c r="C66" s="13"/>
      <c r="D66" s="13"/>
      <c r="E66" s="13"/>
      <c r="F66" s="15"/>
      <c r="G66" s="13"/>
      <c r="H66" s="13"/>
      <c r="I66" s="13"/>
    </row>
    <row r="67" customFormat="false" ht="15" hidden="false" customHeight="false" outlineLevel="0" collapsed="false">
      <c r="A67" s="13"/>
      <c r="B67" s="14"/>
      <c r="C67" s="13"/>
      <c r="D67" s="13"/>
      <c r="E67" s="13"/>
      <c r="F67" s="15"/>
      <c r="G67" s="13"/>
      <c r="H67" s="13"/>
      <c r="I67" s="13"/>
    </row>
    <row r="68" customFormat="false" ht="15" hidden="false" customHeight="false" outlineLevel="0" collapsed="false">
      <c r="A68" s="13"/>
      <c r="B68" s="14"/>
      <c r="C68" s="13"/>
      <c r="D68" s="13"/>
      <c r="E68" s="13"/>
      <c r="F68" s="15"/>
      <c r="G68" s="13"/>
      <c r="H68" s="13"/>
      <c r="I68" s="13"/>
    </row>
    <row r="69" customFormat="false" ht="15" hidden="false" customHeight="false" outlineLevel="0" collapsed="false">
      <c r="A69" s="13"/>
      <c r="B69" s="14"/>
      <c r="C69" s="13"/>
      <c r="D69" s="13"/>
      <c r="E69" s="13"/>
      <c r="F69" s="15"/>
      <c r="G69" s="13"/>
      <c r="H69" s="13"/>
      <c r="I69" s="13"/>
    </row>
    <row r="70" customFormat="false" ht="15" hidden="false" customHeight="false" outlineLevel="0" collapsed="false">
      <c r="A70" s="13"/>
      <c r="B70" s="14"/>
      <c r="C70" s="13"/>
      <c r="D70" s="13"/>
      <c r="E70" s="13"/>
      <c r="F70" s="15"/>
      <c r="G70" s="13"/>
      <c r="H70" s="13"/>
      <c r="I70" s="13"/>
    </row>
    <row r="71" customFormat="false" ht="15" hidden="false" customHeight="false" outlineLevel="0" collapsed="false">
      <c r="A71" s="13"/>
      <c r="B71" s="14"/>
      <c r="C71" s="13"/>
      <c r="D71" s="13"/>
      <c r="E71" s="13"/>
      <c r="F71" s="15"/>
      <c r="G71" s="13"/>
      <c r="H71" s="13"/>
      <c r="I71" s="13"/>
    </row>
    <row r="72" customFormat="false" ht="15" hidden="false" customHeight="false" outlineLevel="0" collapsed="false">
      <c r="A72" s="13"/>
      <c r="B72" s="14"/>
      <c r="C72" s="13"/>
      <c r="D72" s="13"/>
      <c r="E72" s="13"/>
      <c r="F72" s="15"/>
      <c r="G72" s="13"/>
      <c r="H72" s="13"/>
      <c r="I72" s="13"/>
    </row>
    <row r="73" customFormat="false" ht="15" hidden="false" customHeight="false" outlineLevel="0" collapsed="false">
      <c r="A73" s="13"/>
      <c r="B73" s="14"/>
      <c r="C73" s="13"/>
      <c r="D73" s="13"/>
      <c r="E73" s="13"/>
      <c r="F73" s="15"/>
      <c r="G73" s="13"/>
      <c r="H73" s="13"/>
      <c r="I73" s="13"/>
    </row>
    <row r="74" customFormat="false" ht="15" hidden="false" customHeight="false" outlineLevel="0" collapsed="false">
      <c r="A74" s="13"/>
      <c r="B74" s="14"/>
      <c r="C74" s="13"/>
      <c r="D74" s="13"/>
      <c r="E74" s="13"/>
      <c r="F74" s="15"/>
      <c r="G74" s="13"/>
      <c r="H74" s="13"/>
      <c r="I74" s="13"/>
    </row>
    <row r="75" customFormat="false" ht="15" hidden="false" customHeight="false" outlineLevel="0" collapsed="false">
      <c r="A75" s="13"/>
      <c r="B75" s="14"/>
      <c r="C75" s="13"/>
      <c r="D75" s="13"/>
      <c r="E75" s="13"/>
      <c r="F75" s="15"/>
      <c r="G75" s="13"/>
      <c r="H75" s="13"/>
      <c r="I75" s="13"/>
    </row>
    <row r="76" customFormat="false" ht="15" hidden="false" customHeight="false" outlineLevel="0" collapsed="false">
      <c r="A76" s="13"/>
      <c r="B76" s="14"/>
      <c r="C76" s="13"/>
      <c r="D76" s="13"/>
      <c r="E76" s="13"/>
      <c r="F76" s="15"/>
      <c r="G76" s="13"/>
      <c r="H76" s="13"/>
      <c r="I76" s="13"/>
    </row>
    <row r="77" customFormat="false" ht="15" hidden="false" customHeight="false" outlineLevel="0" collapsed="false">
      <c r="A77" s="13"/>
      <c r="B77" s="14"/>
      <c r="C77" s="13"/>
      <c r="D77" s="13"/>
      <c r="E77" s="13"/>
      <c r="F77" s="15"/>
      <c r="G77" s="13"/>
      <c r="H77" s="13"/>
      <c r="I77" s="13"/>
    </row>
    <row r="78" customFormat="false" ht="15" hidden="false" customHeight="false" outlineLevel="0" collapsed="false">
      <c r="A78" s="13"/>
      <c r="B78" s="14"/>
      <c r="C78" s="13"/>
      <c r="D78" s="13"/>
      <c r="E78" s="13"/>
      <c r="F78" s="15"/>
      <c r="G78" s="13"/>
      <c r="H78" s="13"/>
      <c r="I78" s="13"/>
    </row>
    <row r="79" customFormat="false" ht="15" hidden="false" customHeight="false" outlineLevel="0" collapsed="false">
      <c r="A79" s="13"/>
      <c r="B79" s="14"/>
      <c r="C79" s="13"/>
      <c r="D79" s="13"/>
      <c r="E79" s="13"/>
      <c r="F79" s="15"/>
      <c r="G79" s="13"/>
      <c r="H79" s="13"/>
      <c r="I79" s="13"/>
    </row>
    <row r="80" customFormat="false" ht="15" hidden="false" customHeight="false" outlineLevel="0" collapsed="false">
      <c r="A80" s="13"/>
      <c r="B80" s="14"/>
      <c r="C80" s="13"/>
      <c r="D80" s="13"/>
      <c r="E80" s="13"/>
      <c r="F80" s="15"/>
      <c r="G80" s="13"/>
      <c r="H80" s="13"/>
      <c r="I80" s="13"/>
    </row>
    <row r="81" customFormat="false" ht="15" hidden="false" customHeight="false" outlineLevel="0" collapsed="false">
      <c r="A81" s="13"/>
      <c r="B81" s="14"/>
      <c r="C81" s="13"/>
      <c r="D81" s="13"/>
      <c r="E81" s="13"/>
      <c r="F81" s="15"/>
      <c r="G81" s="13"/>
      <c r="H81" s="13"/>
      <c r="I81" s="13"/>
    </row>
    <row r="82" customFormat="false" ht="15" hidden="false" customHeight="false" outlineLevel="0" collapsed="false">
      <c r="A82" s="13"/>
      <c r="B82" s="14"/>
      <c r="C82" s="13"/>
      <c r="D82" s="13"/>
      <c r="E82" s="13"/>
      <c r="F82" s="15"/>
      <c r="G82" s="13"/>
      <c r="H82" s="13"/>
      <c r="I82" s="13"/>
    </row>
    <row r="83" customFormat="false" ht="15" hidden="false" customHeight="false" outlineLevel="0" collapsed="false">
      <c r="A83" s="13"/>
      <c r="B83" s="14"/>
      <c r="C83" s="13"/>
      <c r="D83" s="13"/>
      <c r="E83" s="13"/>
      <c r="F83" s="15"/>
      <c r="G83" s="13"/>
      <c r="H83" s="13"/>
      <c r="I83" s="13"/>
    </row>
    <row r="84" customFormat="false" ht="15" hidden="false" customHeight="false" outlineLevel="0" collapsed="false">
      <c r="A84" s="13"/>
      <c r="B84" s="14"/>
      <c r="C84" s="13"/>
      <c r="D84" s="13"/>
      <c r="E84" s="13"/>
      <c r="F84" s="15"/>
      <c r="G84" s="13"/>
      <c r="H84" s="13"/>
      <c r="I84" s="13"/>
    </row>
    <row r="85" customFormat="false" ht="15" hidden="false" customHeight="false" outlineLevel="0" collapsed="false">
      <c r="A85" s="13"/>
      <c r="B85" s="14"/>
      <c r="C85" s="13"/>
      <c r="D85" s="13"/>
      <c r="E85" s="13"/>
      <c r="F85" s="15"/>
      <c r="G85" s="13"/>
      <c r="H85" s="13"/>
      <c r="I85" s="13"/>
    </row>
    <row r="86" customFormat="false" ht="15" hidden="false" customHeight="false" outlineLevel="0" collapsed="false">
      <c r="A86" s="13"/>
      <c r="B86" s="14"/>
      <c r="C86" s="13"/>
      <c r="D86" s="13"/>
      <c r="E86" s="13"/>
      <c r="F86" s="15"/>
      <c r="G86" s="13"/>
      <c r="H86" s="13"/>
      <c r="I86" s="13"/>
    </row>
    <row r="87" customFormat="false" ht="15" hidden="false" customHeight="false" outlineLevel="0" collapsed="false">
      <c r="A87" s="13"/>
      <c r="B87" s="14"/>
      <c r="C87" s="13"/>
      <c r="D87" s="13"/>
      <c r="E87" s="13"/>
      <c r="F87" s="15"/>
      <c r="G87" s="13"/>
      <c r="H87" s="13"/>
      <c r="I87" s="13"/>
    </row>
    <row r="88" customFormat="false" ht="15" hidden="false" customHeight="false" outlineLevel="0" collapsed="false">
      <c r="A88" s="13"/>
      <c r="B88" s="14"/>
      <c r="C88" s="13"/>
      <c r="D88" s="13"/>
      <c r="E88" s="13"/>
      <c r="F88" s="15"/>
      <c r="G88" s="13"/>
      <c r="H88" s="13"/>
      <c r="I88" s="13"/>
    </row>
    <row r="89" customFormat="false" ht="15" hidden="false" customHeight="false" outlineLevel="0" collapsed="false">
      <c r="A89" s="13"/>
      <c r="B89" s="14"/>
      <c r="C89" s="13"/>
      <c r="D89" s="13"/>
      <c r="E89" s="13"/>
      <c r="F89" s="15"/>
      <c r="G89" s="13"/>
      <c r="H89" s="13"/>
      <c r="I89" s="13"/>
    </row>
    <row r="90" customFormat="false" ht="15" hidden="false" customHeight="false" outlineLevel="0" collapsed="false">
      <c r="A90" s="13"/>
      <c r="B90" s="14"/>
      <c r="C90" s="13"/>
      <c r="D90" s="13"/>
      <c r="E90" s="13"/>
      <c r="F90" s="15"/>
      <c r="G90" s="13"/>
      <c r="H90" s="13"/>
      <c r="I90" s="13"/>
    </row>
    <row r="91" customFormat="false" ht="15" hidden="false" customHeight="false" outlineLevel="0" collapsed="false">
      <c r="A91" s="13"/>
      <c r="B91" s="14"/>
      <c r="C91" s="13"/>
      <c r="D91" s="13"/>
      <c r="E91" s="13"/>
      <c r="F91" s="15"/>
      <c r="G91" s="13"/>
      <c r="H91" s="13"/>
      <c r="I91" s="13"/>
    </row>
    <row r="92" customFormat="false" ht="15" hidden="false" customHeight="false" outlineLevel="0" collapsed="false">
      <c r="A92" s="13"/>
      <c r="B92" s="14"/>
      <c r="C92" s="13"/>
      <c r="D92" s="13"/>
      <c r="E92" s="13"/>
      <c r="F92" s="15"/>
      <c r="G92" s="13"/>
      <c r="H92" s="13"/>
      <c r="I92" s="13"/>
    </row>
    <row r="93" customFormat="false" ht="15" hidden="false" customHeight="false" outlineLevel="0" collapsed="false">
      <c r="A93" s="13"/>
      <c r="B93" s="14"/>
      <c r="C93" s="13"/>
      <c r="D93" s="13"/>
      <c r="E93" s="13"/>
      <c r="F93" s="15"/>
      <c r="G93" s="13"/>
      <c r="H93" s="13"/>
      <c r="I93" s="13"/>
    </row>
    <row r="94" customFormat="false" ht="15" hidden="false" customHeight="false" outlineLevel="0" collapsed="false">
      <c r="A94" s="13"/>
      <c r="B94" s="14"/>
      <c r="C94" s="13"/>
      <c r="D94" s="13"/>
      <c r="E94" s="13"/>
      <c r="F94" s="15"/>
      <c r="G94" s="13"/>
      <c r="H94" s="13"/>
      <c r="I94" s="13"/>
    </row>
    <row r="95" customFormat="false" ht="15" hidden="false" customHeight="false" outlineLevel="0" collapsed="false">
      <c r="A95" s="13"/>
      <c r="B95" s="14"/>
      <c r="C95" s="13"/>
      <c r="D95" s="13"/>
      <c r="E95" s="13"/>
      <c r="F95" s="15"/>
      <c r="G95" s="13"/>
      <c r="H95" s="13"/>
      <c r="I95" s="13"/>
    </row>
    <row r="96" customFormat="false" ht="15" hidden="false" customHeight="false" outlineLevel="0" collapsed="false">
      <c r="A96" s="13"/>
      <c r="B96" s="14"/>
      <c r="C96" s="13"/>
      <c r="D96" s="13"/>
      <c r="E96" s="13"/>
      <c r="F96" s="15"/>
      <c r="G96" s="13"/>
      <c r="H96" s="13"/>
      <c r="I96" s="13"/>
    </row>
    <row r="97" customFormat="false" ht="15" hidden="false" customHeight="false" outlineLevel="0" collapsed="false">
      <c r="A97" s="13"/>
      <c r="B97" s="14"/>
      <c r="C97" s="13"/>
      <c r="D97" s="13"/>
      <c r="E97" s="13"/>
      <c r="F97" s="15"/>
      <c r="G97" s="13"/>
      <c r="H97" s="13"/>
      <c r="I97" s="13"/>
    </row>
    <row r="98" customFormat="false" ht="15" hidden="false" customHeight="false" outlineLevel="0" collapsed="false">
      <c r="A98" s="13"/>
      <c r="B98" s="14"/>
      <c r="C98" s="13"/>
      <c r="D98" s="13"/>
      <c r="E98" s="13"/>
      <c r="F98" s="15"/>
      <c r="G98" s="13"/>
      <c r="H98" s="13"/>
      <c r="I98" s="13"/>
    </row>
    <row r="99" customFormat="false" ht="15" hidden="false" customHeight="false" outlineLevel="0" collapsed="false">
      <c r="A99" s="13"/>
      <c r="B99" s="14"/>
      <c r="C99" s="13"/>
      <c r="D99" s="13"/>
      <c r="E99" s="13"/>
      <c r="F99" s="15"/>
      <c r="G99" s="13"/>
      <c r="H99" s="13"/>
      <c r="I99" s="13"/>
    </row>
    <row r="100" customFormat="false" ht="15" hidden="false" customHeight="false" outlineLevel="0" collapsed="false">
      <c r="A100" s="13"/>
      <c r="B100" s="14"/>
      <c r="C100" s="13"/>
      <c r="D100" s="13"/>
      <c r="E100" s="13"/>
      <c r="F100" s="15"/>
      <c r="G100" s="13"/>
      <c r="H100" s="13"/>
      <c r="I100" s="13"/>
    </row>
    <row r="101" customFormat="false" ht="15" hidden="false" customHeight="false" outlineLevel="0" collapsed="false">
      <c r="A101" s="13"/>
      <c r="B101" s="14"/>
      <c r="C101" s="13"/>
      <c r="D101" s="13"/>
      <c r="E101" s="13"/>
      <c r="F101" s="15"/>
      <c r="G101" s="13"/>
      <c r="H101" s="13"/>
      <c r="I101" s="13"/>
    </row>
    <row r="102" customFormat="false" ht="15" hidden="false" customHeight="false" outlineLevel="0" collapsed="false">
      <c r="A102" s="13"/>
      <c r="B102" s="14"/>
      <c r="C102" s="13"/>
      <c r="D102" s="13"/>
      <c r="E102" s="13"/>
      <c r="F102" s="15"/>
      <c r="G102" s="13"/>
      <c r="H102" s="13"/>
      <c r="I102" s="13"/>
    </row>
    <row r="103" customFormat="false" ht="15" hidden="false" customHeight="false" outlineLevel="0" collapsed="false">
      <c r="A103" s="13"/>
      <c r="B103" s="14"/>
      <c r="C103" s="13"/>
      <c r="D103" s="13"/>
      <c r="E103" s="13"/>
      <c r="F103" s="15"/>
      <c r="G103" s="13"/>
      <c r="H103" s="13"/>
      <c r="I103" s="13"/>
    </row>
    <row r="104" customFormat="false" ht="15" hidden="false" customHeight="false" outlineLevel="0" collapsed="false">
      <c r="A104" s="13"/>
      <c r="B104" s="14"/>
      <c r="C104" s="13"/>
      <c r="D104" s="13"/>
      <c r="E104" s="13"/>
      <c r="F104" s="15"/>
      <c r="G104" s="13"/>
      <c r="H104" s="13"/>
      <c r="I104" s="13"/>
    </row>
    <row r="105" customFormat="false" ht="15" hidden="false" customHeight="false" outlineLevel="0" collapsed="false">
      <c r="A105" s="13"/>
      <c r="B105" s="14"/>
      <c r="C105" s="13"/>
      <c r="D105" s="13"/>
      <c r="E105" s="13"/>
      <c r="F105" s="15"/>
      <c r="G105" s="13"/>
      <c r="H105" s="13"/>
      <c r="I105" s="13"/>
    </row>
    <row r="106" customFormat="false" ht="15" hidden="false" customHeight="false" outlineLevel="0" collapsed="false">
      <c r="A106" s="13"/>
      <c r="B106" s="14"/>
      <c r="C106" s="13"/>
      <c r="D106" s="13"/>
      <c r="E106" s="13"/>
      <c r="F106" s="15"/>
      <c r="G106" s="13"/>
      <c r="H106" s="13"/>
      <c r="I106" s="13"/>
    </row>
    <row r="107" customFormat="false" ht="15" hidden="false" customHeight="false" outlineLevel="0" collapsed="false">
      <c r="A107" s="13"/>
      <c r="B107" s="14"/>
      <c r="C107" s="13"/>
      <c r="D107" s="13"/>
      <c r="E107" s="13"/>
      <c r="F107" s="15"/>
      <c r="G107" s="13"/>
      <c r="H107" s="13"/>
      <c r="I107" s="13"/>
    </row>
    <row r="108" customFormat="false" ht="15" hidden="false" customHeight="false" outlineLevel="0" collapsed="false">
      <c r="A108" s="13"/>
      <c r="B108" s="14"/>
      <c r="C108" s="13"/>
      <c r="D108" s="13"/>
      <c r="E108" s="13"/>
      <c r="F108" s="15"/>
      <c r="G108" s="13"/>
      <c r="H108" s="13"/>
      <c r="I108" s="13"/>
    </row>
    <row r="109" customFormat="false" ht="15" hidden="false" customHeight="false" outlineLevel="0" collapsed="false">
      <c r="A109" s="13"/>
      <c r="B109" s="14"/>
      <c r="C109" s="13"/>
      <c r="D109" s="13"/>
      <c r="E109" s="13"/>
      <c r="F109" s="15"/>
      <c r="G109" s="13"/>
      <c r="H109" s="13"/>
      <c r="I109" s="13"/>
    </row>
    <row r="110" customFormat="false" ht="15" hidden="false" customHeight="false" outlineLevel="0" collapsed="false">
      <c r="A110" s="13"/>
      <c r="B110" s="14"/>
      <c r="C110" s="13"/>
      <c r="D110" s="13"/>
      <c r="E110" s="13"/>
      <c r="F110" s="15"/>
      <c r="G110" s="13"/>
      <c r="H110" s="13"/>
      <c r="I110" s="13"/>
    </row>
    <row r="111" customFormat="false" ht="15" hidden="false" customHeight="false" outlineLevel="0" collapsed="false">
      <c r="A111" s="13"/>
      <c r="B111" s="14"/>
      <c r="C111" s="13"/>
      <c r="D111" s="13"/>
      <c r="E111" s="13"/>
      <c r="F111" s="15"/>
      <c r="G111" s="13"/>
      <c r="H111" s="13"/>
      <c r="I111" s="13"/>
    </row>
    <row r="112" customFormat="false" ht="15" hidden="false" customHeight="false" outlineLevel="0" collapsed="false">
      <c r="A112" s="13"/>
      <c r="B112" s="14"/>
      <c r="C112" s="13"/>
      <c r="D112" s="13"/>
      <c r="E112" s="13"/>
      <c r="F112" s="15"/>
      <c r="G112" s="13"/>
      <c r="H112" s="13"/>
      <c r="I112" s="13"/>
    </row>
    <row r="113" customFormat="false" ht="15" hidden="false" customHeight="false" outlineLevel="0" collapsed="false">
      <c r="A113" s="13"/>
      <c r="B113" s="14"/>
      <c r="C113" s="13"/>
      <c r="D113" s="13"/>
      <c r="E113" s="13"/>
      <c r="F113" s="15"/>
      <c r="G113" s="13"/>
      <c r="H113" s="13"/>
      <c r="I113" s="13"/>
    </row>
    <row r="114" customFormat="false" ht="15" hidden="false" customHeight="false" outlineLevel="0" collapsed="false">
      <c r="A114" s="13"/>
      <c r="B114" s="14"/>
      <c r="C114" s="13"/>
      <c r="D114" s="13"/>
      <c r="E114" s="13"/>
      <c r="F114" s="15"/>
      <c r="G114" s="13"/>
      <c r="H114" s="13"/>
      <c r="I114" s="13"/>
    </row>
    <row r="115" customFormat="false" ht="15" hidden="false" customHeight="false" outlineLevel="0" collapsed="false">
      <c r="A115" s="13"/>
      <c r="B115" s="14"/>
      <c r="C115" s="13"/>
      <c r="D115" s="13"/>
      <c r="E115" s="13"/>
      <c r="F115" s="15"/>
      <c r="G115" s="13"/>
      <c r="H115" s="13"/>
      <c r="I115" s="13"/>
    </row>
    <row r="116" customFormat="false" ht="15" hidden="false" customHeight="false" outlineLevel="0" collapsed="false">
      <c r="A116" s="13"/>
      <c r="B116" s="14"/>
      <c r="C116" s="13"/>
      <c r="D116" s="13"/>
      <c r="E116" s="13"/>
      <c r="F116" s="15"/>
      <c r="G116" s="13"/>
      <c r="H116" s="13"/>
      <c r="I116" s="13"/>
    </row>
    <row r="117" customFormat="false" ht="15" hidden="false" customHeight="false" outlineLevel="0" collapsed="false">
      <c r="A117" s="13"/>
      <c r="B117" s="14"/>
      <c r="C117" s="13"/>
      <c r="D117" s="13"/>
      <c r="E117" s="13"/>
      <c r="F117" s="15"/>
      <c r="G117" s="13"/>
      <c r="H117" s="13"/>
      <c r="I117" s="13"/>
    </row>
    <row r="118" customFormat="false" ht="15" hidden="false" customHeight="false" outlineLevel="0" collapsed="false">
      <c r="A118" s="13"/>
      <c r="B118" s="14"/>
      <c r="C118" s="13"/>
      <c r="D118" s="13"/>
      <c r="E118" s="13"/>
      <c r="F118" s="15"/>
      <c r="G118" s="13"/>
      <c r="H118" s="13"/>
      <c r="I118" s="13"/>
    </row>
    <row r="119" customFormat="false" ht="15" hidden="false" customHeight="false" outlineLevel="0" collapsed="false">
      <c r="A119" s="13"/>
      <c r="B119" s="14"/>
      <c r="C119" s="13"/>
      <c r="D119" s="13"/>
      <c r="E119" s="13"/>
      <c r="F119" s="15"/>
      <c r="G119" s="13"/>
      <c r="H119" s="13"/>
      <c r="I119" s="13"/>
    </row>
    <row r="120" customFormat="false" ht="15" hidden="false" customHeight="false" outlineLevel="0" collapsed="false">
      <c r="A120" s="13"/>
      <c r="B120" s="14"/>
      <c r="C120" s="13"/>
      <c r="D120" s="13"/>
      <c r="E120" s="13"/>
      <c r="F120" s="15"/>
      <c r="G120" s="13"/>
      <c r="H120" s="13"/>
      <c r="I120" s="13"/>
    </row>
    <row r="121" customFormat="false" ht="15" hidden="false" customHeight="false" outlineLevel="0" collapsed="false">
      <c r="A121" s="13"/>
      <c r="B121" s="14"/>
      <c r="C121" s="13"/>
      <c r="D121" s="13"/>
      <c r="E121" s="13"/>
      <c r="F121" s="15"/>
      <c r="G121" s="13"/>
      <c r="H121" s="13"/>
      <c r="I121" s="13"/>
    </row>
    <row r="122" customFormat="false" ht="15" hidden="false" customHeight="false" outlineLevel="0" collapsed="false">
      <c r="A122" s="13"/>
      <c r="B122" s="14"/>
      <c r="C122" s="13"/>
      <c r="D122" s="13"/>
      <c r="E122" s="13"/>
      <c r="F122" s="15"/>
      <c r="G122" s="13"/>
      <c r="H122" s="13"/>
      <c r="I122" s="13"/>
    </row>
    <row r="123" customFormat="false" ht="15" hidden="false" customHeight="false" outlineLevel="0" collapsed="false">
      <c r="A123" s="13"/>
      <c r="B123" s="14"/>
      <c r="C123" s="13"/>
      <c r="D123" s="13"/>
      <c r="E123" s="13"/>
      <c r="F123" s="15"/>
      <c r="G123" s="13"/>
      <c r="H123" s="13"/>
      <c r="I123" s="13"/>
    </row>
    <row r="124" customFormat="false" ht="15" hidden="false" customHeight="false" outlineLevel="0" collapsed="false">
      <c r="A124" s="13"/>
      <c r="B124" s="14"/>
      <c r="C124" s="13"/>
      <c r="D124" s="13"/>
      <c r="E124" s="13"/>
      <c r="F124" s="15"/>
      <c r="G124" s="13"/>
      <c r="H124" s="13"/>
      <c r="I124" s="13"/>
    </row>
    <row r="125" customFormat="false" ht="15" hidden="false" customHeight="false" outlineLevel="0" collapsed="false">
      <c r="A125" s="13"/>
      <c r="B125" s="14"/>
      <c r="C125" s="13"/>
      <c r="D125" s="13"/>
      <c r="E125" s="13"/>
      <c r="F125" s="15"/>
      <c r="G125" s="13"/>
      <c r="H125" s="13"/>
      <c r="I125" s="13"/>
    </row>
    <row r="126" customFormat="false" ht="15" hidden="false" customHeight="false" outlineLevel="0" collapsed="false">
      <c r="A126" s="13"/>
      <c r="B126" s="14"/>
      <c r="C126" s="13"/>
      <c r="D126" s="13"/>
      <c r="E126" s="13"/>
      <c r="F126" s="15"/>
      <c r="G126" s="13"/>
      <c r="H126" s="13"/>
      <c r="I126" s="13"/>
    </row>
    <row r="127" customFormat="false" ht="15" hidden="false" customHeight="false" outlineLevel="0" collapsed="false">
      <c r="A127" s="13"/>
      <c r="B127" s="14"/>
      <c r="C127" s="13"/>
      <c r="D127" s="13"/>
      <c r="E127" s="13"/>
      <c r="F127" s="15"/>
      <c r="G127" s="13"/>
      <c r="H127" s="13"/>
      <c r="I127" s="13"/>
    </row>
    <row r="128" customFormat="false" ht="15" hidden="false" customHeight="false" outlineLevel="0" collapsed="false">
      <c r="A128" s="13"/>
      <c r="B128" s="14"/>
      <c r="C128" s="13"/>
      <c r="D128" s="13"/>
      <c r="E128" s="13"/>
      <c r="F128" s="15"/>
      <c r="G128" s="13"/>
      <c r="H128" s="13"/>
      <c r="I128" s="13"/>
    </row>
    <row r="129" customFormat="false" ht="15" hidden="false" customHeight="false" outlineLevel="0" collapsed="false">
      <c r="A129" s="13"/>
      <c r="B129" s="14"/>
      <c r="C129" s="13"/>
      <c r="D129" s="13"/>
      <c r="E129" s="13"/>
      <c r="F129" s="15"/>
      <c r="G129" s="13"/>
      <c r="H129" s="13"/>
      <c r="I129" s="13"/>
    </row>
    <row r="130" customFormat="false" ht="15" hidden="false" customHeight="false" outlineLevel="0" collapsed="false">
      <c r="A130" s="13"/>
      <c r="B130" s="14"/>
      <c r="C130" s="13"/>
      <c r="D130" s="13"/>
      <c r="E130" s="13"/>
      <c r="F130" s="15"/>
      <c r="G130" s="13"/>
      <c r="H130" s="13"/>
      <c r="I130" s="13"/>
    </row>
    <row r="131" customFormat="false" ht="15" hidden="false" customHeight="false" outlineLevel="0" collapsed="false">
      <c r="A131" s="13"/>
      <c r="B131" s="14"/>
      <c r="C131" s="13"/>
      <c r="D131" s="13"/>
      <c r="E131" s="13"/>
      <c r="F131" s="15"/>
      <c r="G131" s="13"/>
      <c r="H131" s="13"/>
      <c r="I131" s="13"/>
    </row>
    <row r="132" customFormat="false" ht="15" hidden="false" customHeight="false" outlineLevel="0" collapsed="false">
      <c r="A132" s="13"/>
      <c r="B132" s="14"/>
      <c r="C132" s="13"/>
      <c r="D132" s="13"/>
      <c r="E132" s="13"/>
      <c r="F132" s="15"/>
      <c r="G132" s="13"/>
      <c r="H132" s="13"/>
      <c r="I132" s="13"/>
    </row>
    <row r="133" customFormat="false" ht="15" hidden="false" customHeight="false" outlineLevel="0" collapsed="false">
      <c r="A133" s="13"/>
      <c r="B133" s="14"/>
      <c r="C133" s="13"/>
      <c r="D133" s="13"/>
      <c r="E133" s="13"/>
      <c r="F133" s="15"/>
      <c r="G133" s="13"/>
      <c r="H133" s="13"/>
      <c r="I133" s="13"/>
    </row>
    <row r="134" customFormat="false" ht="15" hidden="false" customHeight="false" outlineLevel="0" collapsed="false">
      <c r="A134" s="13"/>
      <c r="B134" s="14"/>
      <c r="C134" s="13"/>
      <c r="D134" s="13"/>
      <c r="E134" s="13"/>
      <c r="F134" s="15"/>
      <c r="G134" s="13"/>
      <c r="H134" s="13"/>
      <c r="I134" s="13"/>
    </row>
    <row r="135" customFormat="false" ht="15" hidden="false" customHeight="false" outlineLevel="0" collapsed="false">
      <c r="A135" s="13"/>
      <c r="B135" s="14"/>
      <c r="C135" s="13"/>
      <c r="D135" s="13"/>
      <c r="E135" s="13"/>
      <c r="F135" s="15"/>
      <c r="G135" s="13"/>
      <c r="H135" s="13"/>
      <c r="I135" s="13"/>
    </row>
    <row r="136" customFormat="false" ht="15" hidden="false" customHeight="false" outlineLevel="0" collapsed="false">
      <c r="A136" s="13"/>
      <c r="B136" s="14"/>
      <c r="C136" s="13"/>
      <c r="D136" s="13"/>
      <c r="E136" s="13"/>
      <c r="F136" s="15"/>
      <c r="G136" s="13"/>
      <c r="H136" s="13"/>
      <c r="I136" s="13"/>
    </row>
    <row r="137" customFormat="false" ht="15" hidden="false" customHeight="false" outlineLevel="0" collapsed="false">
      <c r="A137" s="13"/>
      <c r="B137" s="14"/>
      <c r="C137" s="13"/>
      <c r="D137" s="13"/>
      <c r="E137" s="13"/>
      <c r="F137" s="15"/>
      <c r="G137" s="13"/>
      <c r="H137" s="13"/>
      <c r="I137" s="13"/>
    </row>
    <row r="138" customFormat="false" ht="15" hidden="false" customHeight="false" outlineLevel="0" collapsed="false">
      <c r="A138" s="13"/>
      <c r="B138" s="14"/>
      <c r="C138" s="13"/>
      <c r="D138" s="13"/>
      <c r="E138" s="13"/>
      <c r="F138" s="15"/>
      <c r="G138" s="13"/>
      <c r="H138" s="13"/>
      <c r="I138" s="13"/>
    </row>
    <row r="139" customFormat="false" ht="15" hidden="false" customHeight="false" outlineLevel="0" collapsed="false">
      <c r="A139" s="13"/>
      <c r="B139" s="14"/>
      <c r="C139" s="13"/>
      <c r="D139" s="13"/>
      <c r="E139" s="13"/>
      <c r="F139" s="15"/>
      <c r="G139" s="13"/>
      <c r="H139" s="13"/>
      <c r="I139" s="13"/>
    </row>
    <row r="140" customFormat="false" ht="15" hidden="false" customHeight="false" outlineLevel="0" collapsed="false">
      <c r="A140" s="13"/>
      <c r="B140" s="14"/>
      <c r="C140" s="13"/>
      <c r="D140" s="13"/>
      <c r="E140" s="13"/>
      <c r="F140" s="15"/>
      <c r="G140" s="13"/>
      <c r="H140" s="13"/>
      <c r="I140" s="13"/>
    </row>
    <row r="141" customFormat="false" ht="15" hidden="false" customHeight="false" outlineLevel="0" collapsed="false">
      <c r="A141" s="13"/>
      <c r="B141" s="14"/>
      <c r="C141" s="13"/>
      <c r="D141" s="13"/>
      <c r="E141" s="13"/>
      <c r="F141" s="15"/>
      <c r="G141" s="13"/>
      <c r="H141" s="13"/>
      <c r="I141" s="13"/>
    </row>
    <row r="142" customFormat="false" ht="15" hidden="false" customHeight="false" outlineLevel="0" collapsed="false">
      <c r="A142" s="13"/>
      <c r="B142" s="14"/>
      <c r="C142" s="13"/>
      <c r="D142" s="13"/>
      <c r="E142" s="13"/>
      <c r="F142" s="15"/>
      <c r="G142" s="13"/>
      <c r="H142" s="13"/>
      <c r="I142" s="13"/>
    </row>
    <row r="143" customFormat="false" ht="15" hidden="false" customHeight="false" outlineLevel="0" collapsed="false">
      <c r="A143" s="13"/>
      <c r="B143" s="14"/>
      <c r="C143" s="13"/>
      <c r="D143" s="13"/>
      <c r="E143" s="13"/>
      <c r="F143" s="15"/>
      <c r="G143" s="13"/>
      <c r="H143" s="13"/>
      <c r="I143" s="13"/>
    </row>
    <row r="144" customFormat="false" ht="15" hidden="false" customHeight="false" outlineLevel="0" collapsed="false">
      <c r="A144" s="13"/>
      <c r="B144" s="14"/>
      <c r="C144" s="13"/>
      <c r="D144" s="13"/>
      <c r="E144" s="13"/>
      <c r="F144" s="15"/>
      <c r="G144" s="13"/>
      <c r="H144" s="13"/>
      <c r="I144" s="13"/>
    </row>
    <row r="145" customFormat="false" ht="15" hidden="false" customHeight="false" outlineLevel="0" collapsed="false">
      <c r="A145" s="13"/>
      <c r="B145" s="14"/>
      <c r="C145" s="13"/>
      <c r="D145" s="13"/>
      <c r="E145" s="13"/>
      <c r="F145" s="15"/>
      <c r="G145" s="13"/>
      <c r="H145" s="13"/>
      <c r="I145" s="13"/>
    </row>
    <row r="146" customFormat="false" ht="15" hidden="false" customHeight="false" outlineLevel="0" collapsed="false">
      <c r="A146" s="13"/>
      <c r="B146" s="14"/>
      <c r="C146" s="13"/>
      <c r="D146" s="13"/>
      <c r="E146" s="13"/>
      <c r="F146" s="15"/>
      <c r="G146" s="13"/>
      <c r="H146" s="13"/>
      <c r="I146" s="13"/>
    </row>
    <row r="147" customFormat="false" ht="15" hidden="false" customHeight="false" outlineLevel="0" collapsed="false">
      <c r="A147" s="13"/>
      <c r="B147" s="14"/>
      <c r="C147" s="13"/>
      <c r="D147" s="13"/>
      <c r="E147" s="13"/>
      <c r="F147" s="15"/>
      <c r="G147" s="13"/>
      <c r="H147" s="13"/>
      <c r="I147" s="13"/>
    </row>
    <row r="148" customFormat="false" ht="15" hidden="false" customHeight="false" outlineLevel="0" collapsed="false">
      <c r="A148" s="13"/>
      <c r="B148" s="14"/>
      <c r="C148" s="13"/>
      <c r="D148" s="13"/>
      <c r="E148" s="13"/>
      <c r="F148" s="15"/>
      <c r="G148" s="13"/>
      <c r="H148" s="13"/>
      <c r="I148" s="13"/>
    </row>
    <row r="149" customFormat="false" ht="15" hidden="false" customHeight="false" outlineLevel="0" collapsed="false">
      <c r="A149" s="13"/>
      <c r="B149" s="14"/>
      <c r="C149" s="13"/>
      <c r="D149" s="13"/>
      <c r="E149" s="13"/>
      <c r="F149" s="15"/>
      <c r="G149" s="13"/>
      <c r="H149" s="13"/>
      <c r="I149" s="13"/>
    </row>
    <row r="150" customFormat="false" ht="15" hidden="false" customHeight="false" outlineLevel="0" collapsed="false">
      <c r="A150" s="13"/>
      <c r="B150" s="14"/>
      <c r="C150" s="13"/>
      <c r="D150" s="13"/>
      <c r="E150" s="13"/>
      <c r="F150" s="15"/>
      <c r="G150" s="13"/>
      <c r="H150" s="13"/>
      <c r="I150" s="13"/>
    </row>
    <row r="151" customFormat="false" ht="15" hidden="false" customHeight="false" outlineLevel="0" collapsed="false">
      <c r="A151" s="13"/>
      <c r="B151" s="14"/>
      <c r="C151" s="13"/>
      <c r="D151" s="13"/>
      <c r="E151" s="13"/>
      <c r="F151" s="15"/>
      <c r="G151" s="13"/>
      <c r="H151" s="13"/>
      <c r="I151" s="13"/>
    </row>
    <row r="152" customFormat="false" ht="15" hidden="false" customHeight="false" outlineLevel="0" collapsed="false">
      <c r="A152" s="13"/>
      <c r="B152" s="14"/>
      <c r="C152" s="13"/>
      <c r="D152" s="13"/>
      <c r="E152" s="13"/>
      <c r="F152" s="15"/>
      <c r="G152" s="13"/>
      <c r="H152" s="13"/>
      <c r="I152" s="13"/>
    </row>
    <row r="153" customFormat="false" ht="15" hidden="false" customHeight="false" outlineLevel="0" collapsed="false">
      <c r="A153" s="13"/>
      <c r="B153" s="14"/>
      <c r="C153" s="13"/>
      <c r="D153" s="13"/>
      <c r="E153" s="13"/>
      <c r="F153" s="15"/>
      <c r="G153" s="13"/>
      <c r="H153" s="13"/>
      <c r="I153" s="13"/>
    </row>
    <row r="154" customFormat="false" ht="15" hidden="false" customHeight="false" outlineLevel="0" collapsed="false">
      <c r="A154" s="13"/>
      <c r="B154" s="14"/>
      <c r="C154" s="13"/>
      <c r="D154" s="13"/>
      <c r="E154" s="13"/>
      <c r="F154" s="15"/>
      <c r="G154" s="13"/>
      <c r="H154" s="13"/>
      <c r="I154" s="13"/>
    </row>
    <row r="155" customFormat="false" ht="15" hidden="false" customHeight="false" outlineLevel="0" collapsed="false">
      <c r="A155" s="13"/>
      <c r="B155" s="14"/>
      <c r="C155" s="13"/>
      <c r="D155" s="13"/>
      <c r="E155" s="13"/>
      <c r="F155" s="15"/>
      <c r="G155" s="13"/>
      <c r="H155" s="13"/>
      <c r="I155" s="13"/>
    </row>
    <row r="156" customFormat="false" ht="15" hidden="false" customHeight="false" outlineLevel="0" collapsed="false">
      <c r="A156" s="13"/>
      <c r="B156" s="14"/>
      <c r="C156" s="13"/>
      <c r="D156" s="13"/>
      <c r="E156" s="13"/>
      <c r="F156" s="15"/>
      <c r="G156" s="13"/>
      <c r="H156" s="13"/>
      <c r="I156" s="13"/>
    </row>
    <row r="157" customFormat="false" ht="15" hidden="false" customHeight="false" outlineLevel="0" collapsed="false">
      <c r="A157" s="13"/>
      <c r="B157" s="14"/>
      <c r="C157" s="13"/>
      <c r="D157" s="13"/>
      <c r="E157" s="13"/>
      <c r="F157" s="15"/>
      <c r="G157" s="13"/>
      <c r="H157" s="13"/>
      <c r="I157" s="13"/>
    </row>
    <row r="158" customFormat="false" ht="15" hidden="false" customHeight="false" outlineLevel="0" collapsed="false">
      <c r="A158" s="13"/>
      <c r="B158" s="14"/>
      <c r="C158" s="13"/>
      <c r="D158" s="13"/>
      <c r="E158" s="13"/>
      <c r="F158" s="15"/>
      <c r="G158" s="13"/>
      <c r="H158" s="13"/>
      <c r="I158" s="13"/>
    </row>
    <row r="159" customFormat="false" ht="15" hidden="false" customHeight="false" outlineLevel="0" collapsed="false">
      <c r="A159" s="13"/>
      <c r="B159" s="14"/>
      <c r="C159" s="13"/>
      <c r="D159" s="13"/>
      <c r="E159" s="13"/>
      <c r="F159" s="15"/>
      <c r="G159" s="13"/>
      <c r="H159" s="13"/>
      <c r="I159" s="13"/>
    </row>
    <row r="160" customFormat="false" ht="15" hidden="false" customHeight="false" outlineLevel="0" collapsed="false">
      <c r="A160" s="13"/>
      <c r="B160" s="14"/>
      <c r="C160" s="13"/>
      <c r="D160" s="13"/>
      <c r="E160" s="13"/>
      <c r="F160" s="15"/>
      <c r="G160" s="13"/>
      <c r="H160" s="13"/>
      <c r="I160" s="13"/>
    </row>
    <row r="161" customFormat="false" ht="15" hidden="false" customHeight="false" outlineLevel="0" collapsed="false">
      <c r="A161" s="13"/>
      <c r="B161" s="14"/>
      <c r="C161" s="13"/>
      <c r="D161" s="13"/>
      <c r="E161" s="13"/>
      <c r="F161" s="15"/>
      <c r="G161" s="13"/>
      <c r="H161" s="13"/>
      <c r="I161" s="13"/>
    </row>
    <row r="162" customFormat="false" ht="15" hidden="false" customHeight="false" outlineLevel="0" collapsed="false">
      <c r="A162" s="13"/>
      <c r="B162" s="14"/>
      <c r="C162" s="13"/>
      <c r="D162" s="13"/>
      <c r="E162" s="13"/>
      <c r="F162" s="15"/>
      <c r="G162" s="13"/>
      <c r="H162" s="13"/>
      <c r="I162" s="13"/>
    </row>
    <row r="163" customFormat="false" ht="15" hidden="false" customHeight="false" outlineLevel="0" collapsed="false">
      <c r="A163" s="13"/>
      <c r="B163" s="14"/>
      <c r="C163" s="13"/>
      <c r="D163" s="13"/>
      <c r="E163" s="13"/>
      <c r="F163" s="15"/>
      <c r="G163" s="13"/>
      <c r="H163" s="13"/>
      <c r="I163" s="13"/>
    </row>
    <row r="164" customFormat="false" ht="15" hidden="false" customHeight="false" outlineLevel="0" collapsed="false">
      <c r="A164" s="13"/>
      <c r="B164" s="14"/>
      <c r="C164" s="13"/>
      <c r="D164" s="13"/>
      <c r="E164" s="13"/>
      <c r="F164" s="15"/>
      <c r="G164" s="13"/>
      <c r="H164" s="13"/>
      <c r="I164" s="13"/>
    </row>
    <row r="165" customFormat="false" ht="15" hidden="false" customHeight="false" outlineLevel="0" collapsed="false">
      <c r="A165" s="13"/>
      <c r="B165" s="14"/>
      <c r="C165" s="13"/>
      <c r="D165" s="13"/>
      <c r="E165" s="13"/>
      <c r="F165" s="15"/>
      <c r="G165" s="13"/>
      <c r="H165" s="13"/>
      <c r="I165" s="13"/>
    </row>
    <row r="166" customFormat="false" ht="15" hidden="false" customHeight="false" outlineLevel="0" collapsed="false">
      <c r="A166" s="13"/>
      <c r="B166" s="14"/>
      <c r="C166" s="13"/>
      <c r="D166" s="13"/>
      <c r="E166" s="13"/>
      <c r="F166" s="15"/>
      <c r="G166" s="13"/>
      <c r="H166" s="13"/>
      <c r="I166" s="13"/>
    </row>
    <row r="167" customFormat="false" ht="15" hidden="false" customHeight="false" outlineLevel="0" collapsed="false">
      <c r="A167" s="13"/>
      <c r="B167" s="14"/>
      <c r="C167" s="13"/>
      <c r="D167" s="13"/>
      <c r="E167" s="13"/>
      <c r="F167" s="15"/>
      <c r="G167" s="13"/>
      <c r="H167" s="13"/>
      <c r="I167" s="13"/>
    </row>
    <row r="168" customFormat="false" ht="15" hidden="false" customHeight="false" outlineLevel="0" collapsed="false">
      <c r="A168" s="13"/>
      <c r="B168" s="14"/>
      <c r="C168" s="13"/>
      <c r="D168" s="13"/>
      <c r="E168" s="13"/>
      <c r="F168" s="15"/>
      <c r="G168" s="13"/>
      <c r="H168" s="13"/>
      <c r="I168" s="13"/>
    </row>
    <row r="169" customFormat="false" ht="15" hidden="false" customHeight="false" outlineLevel="0" collapsed="false">
      <c r="A169" s="13"/>
      <c r="B169" s="14"/>
      <c r="C169" s="13"/>
      <c r="D169" s="13"/>
      <c r="E169" s="13"/>
      <c r="F169" s="15"/>
      <c r="G169" s="13"/>
      <c r="H169" s="13"/>
      <c r="I169" s="13"/>
    </row>
    <row r="170" customFormat="false" ht="15" hidden="false" customHeight="false" outlineLevel="0" collapsed="false">
      <c r="A170" s="13"/>
      <c r="B170" s="14"/>
      <c r="C170" s="13"/>
      <c r="D170" s="13"/>
      <c r="E170" s="13"/>
      <c r="F170" s="15"/>
      <c r="G170" s="13"/>
      <c r="H170" s="13"/>
      <c r="I170" s="13"/>
    </row>
    <row r="171" customFormat="false" ht="15" hidden="false" customHeight="false" outlineLevel="0" collapsed="false">
      <c r="A171" s="13"/>
      <c r="B171" s="14"/>
      <c r="C171" s="13"/>
      <c r="D171" s="13"/>
      <c r="E171" s="13"/>
      <c r="F171" s="15"/>
      <c r="G171" s="13"/>
      <c r="H171" s="13"/>
      <c r="I171" s="13"/>
    </row>
    <row r="172" customFormat="false" ht="15" hidden="false" customHeight="false" outlineLevel="0" collapsed="false">
      <c r="A172" s="13"/>
      <c r="B172" s="14"/>
      <c r="C172" s="13"/>
      <c r="D172" s="13"/>
      <c r="E172" s="13"/>
      <c r="F172" s="15"/>
      <c r="G172" s="13"/>
      <c r="H172" s="13"/>
      <c r="I172" s="13"/>
    </row>
    <row r="173" customFormat="false" ht="15" hidden="false" customHeight="false" outlineLevel="0" collapsed="false">
      <c r="A173" s="13"/>
      <c r="B173" s="14"/>
      <c r="C173" s="13"/>
      <c r="D173" s="13"/>
      <c r="E173" s="13"/>
      <c r="F173" s="15"/>
      <c r="G173" s="13"/>
      <c r="H173" s="13"/>
      <c r="I173" s="13"/>
    </row>
    <row r="174" customFormat="false" ht="15" hidden="false" customHeight="false" outlineLevel="0" collapsed="false">
      <c r="A174" s="13"/>
      <c r="B174" s="14"/>
      <c r="C174" s="13"/>
      <c r="D174" s="13"/>
      <c r="E174" s="13"/>
      <c r="F174" s="15"/>
      <c r="G174" s="13"/>
      <c r="H174" s="13"/>
      <c r="I174" s="13"/>
    </row>
    <row r="175" customFormat="false" ht="15" hidden="false" customHeight="false" outlineLevel="0" collapsed="false">
      <c r="A175" s="13"/>
      <c r="B175" s="14"/>
      <c r="C175" s="13"/>
      <c r="D175" s="13"/>
      <c r="E175" s="13"/>
      <c r="F175" s="15"/>
      <c r="G175" s="13"/>
      <c r="H175" s="13"/>
      <c r="I175" s="13"/>
    </row>
    <row r="176" customFormat="false" ht="15" hidden="false" customHeight="false" outlineLevel="0" collapsed="false">
      <c r="A176" s="13"/>
      <c r="B176" s="14"/>
      <c r="C176" s="13"/>
      <c r="D176" s="13"/>
      <c r="E176" s="13"/>
      <c r="F176" s="15"/>
      <c r="G176" s="13"/>
      <c r="H176" s="13"/>
      <c r="I176" s="13"/>
    </row>
    <row r="177" customFormat="false" ht="15" hidden="false" customHeight="false" outlineLevel="0" collapsed="false">
      <c r="A177" s="13"/>
      <c r="B177" s="14"/>
      <c r="C177" s="13"/>
      <c r="D177" s="13"/>
      <c r="E177" s="13"/>
      <c r="F177" s="15"/>
      <c r="G177" s="13"/>
      <c r="H177" s="13"/>
      <c r="I177" s="13"/>
    </row>
    <row r="178" customFormat="false" ht="15" hidden="false" customHeight="false" outlineLevel="0" collapsed="false">
      <c r="A178" s="13"/>
      <c r="B178" s="14"/>
      <c r="C178" s="13"/>
      <c r="D178" s="13"/>
      <c r="E178" s="13"/>
      <c r="F178" s="15"/>
      <c r="G178" s="13"/>
      <c r="H178" s="13"/>
      <c r="I178" s="13"/>
    </row>
    <row r="179" customFormat="false" ht="15" hidden="false" customHeight="false" outlineLevel="0" collapsed="false">
      <c r="A179" s="13"/>
      <c r="B179" s="14"/>
      <c r="C179" s="13"/>
      <c r="D179" s="13"/>
      <c r="E179" s="13"/>
      <c r="F179" s="15"/>
      <c r="G179" s="13"/>
      <c r="H179" s="13"/>
      <c r="I179" s="13"/>
    </row>
    <row r="180" customFormat="false" ht="15" hidden="false" customHeight="false" outlineLevel="0" collapsed="false">
      <c r="A180" s="13"/>
      <c r="B180" s="14"/>
      <c r="C180" s="13"/>
      <c r="D180" s="13"/>
      <c r="E180" s="13"/>
      <c r="F180" s="15"/>
      <c r="G180" s="13"/>
      <c r="H180" s="13"/>
      <c r="I180" s="13"/>
    </row>
    <row r="181" customFormat="false" ht="15" hidden="false" customHeight="false" outlineLevel="0" collapsed="false">
      <c r="A181" s="13"/>
      <c r="B181" s="14"/>
      <c r="C181" s="13"/>
      <c r="D181" s="13"/>
      <c r="E181" s="13"/>
      <c r="F181" s="15"/>
      <c r="G181" s="13"/>
      <c r="H181" s="13"/>
      <c r="I181" s="13"/>
    </row>
    <row r="182" customFormat="false" ht="15" hidden="false" customHeight="false" outlineLevel="0" collapsed="false">
      <c r="A182" s="13"/>
      <c r="B182" s="14"/>
      <c r="C182" s="13"/>
      <c r="D182" s="13"/>
      <c r="E182" s="13"/>
      <c r="F182" s="15"/>
      <c r="G182" s="13"/>
      <c r="H182" s="13"/>
      <c r="I182" s="13"/>
    </row>
    <row r="183" customFormat="false" ht="15" hidden="false" customHeight="false" outlineLevel="0" collapsed="false">
      <c r="A183" s="13"/>
      <c r="B183" s="14"/>
      <c r="C183" s="13"/>
      <c r="D183" s="13"/>
      <c r="E183" s="13"/>
      <c r="F183" s="15"/>
      <c r="G183" s="13"/>
      <c r="H183" s="13"/>
      <c r="I183" s="13"/>
    </row>
    <row r="184" customFormat="false" ht="15" hidden="false" customHeight="false" outlineLevel="0" collapsed="false">
      <c r="A184" s="13"/>
      <c r="B184" s="14"/>
      <c r="C184" s="13"/>
      <c r="D184" s="13"/>
      <c r="E184" s="13"/>
      <c r="F184" s="15"/>
      <c r="G184" s="13"/>
      <c r="H184" s="13"/>
      <c r="I184" s="13"/>
    </row>
    <row r="185" customFormat="false" ht="15" hidden="false" customHeight="false" outlineLevel="0" collapsed="false">
      <c r="A185" s="13"/>
      <c r="B185" s="14"/>
      <c r="C185" s="13"/>
      <c r="D185" s="13"/>
      <c r="E185" s="13"/>
      <c r="F185" s="15"/>
      <c r="G185" s="13"/>
      <c r="H185" s="13"/>
      <c r="I185" s="13"/>
    </row>
    <row r="186" customFormat="false" ht="15" hidden="false" customHeight="false" outlineLevel="0" collapsed="false">
      <c r="A186" s="13"/>
      <c r="B186" s="14"/>
      <c r="C186" s="13"/>
      <c r="D186" s="13"/>
      <c r="E186" s="13"/>
      <c r="F186" s="15"/>
      <c r="G186" s="13"/>
      <c r="H186" s="13"/>
      <c r="I186" s="13"/>
    </row>
    <row r="187" customFormat="false" ht="15" hidden="false" customHeight="false" outlineLevel="0" collapsed="false">
      <c r="A187" s="13"/>
      <c r="B187" s="14"/>
      <c r="C187" s="13"/>
      <c r="D187" s="13"/>
      <c r="E187" s="13"/>
      <c r="F187" s="15"/>
      <c r="G187" s="13"/>
      <c r="H187" s="13"/>
      <c r="I187" s="13"/>
    </row>
    <row r="188" customFormat="false" ht="15" hidden="false" customHeight="false" outlineLevel="0" collapsed="false">
      <c r="A188" s="13"/>
      <c r="B188" s="14"/>
      <c r="C188" s="13"/>
      <c r="D188" s="13"/>
      <c r="E188" s="13"/>
      <c r="F188" s="15"/>
      <c r="G188" s="13"/>
      <c r="H188" s="13"/>
      <c r="I188" s="13"/>
    </row>
    <row r="189" customFormat="false" ht="15" hidden="false" customHeight="false" outlineLevel="0" collapsed="false">
      <c r="A189" s="13"/>
      <c r="B189" s="14"/>
      <c r="C189" s="13"/>
      <c r="D189" s="13"/>
      <c r="E189" s="13"/>
      <c r="F189" s="15"/>
      <c r="G189" s="13"/>
      <c r="H189" s="13"/>
      <c r="I189" s="13"/>
    </row>
    <row r="190" customFormat="false" ht="15" hidden="false" customHeight="false" outlineLevel="0" collapsed="false">
      <c r="A190" s="13"/>
      <c r="B190" s="14"/>
      <c r="C190" s="13"/>
      <c r="D190" s="13"/>
      <c r="E190" s="13"/>
      <c r="F190" s="15"/>
      <c r="G190" s="13"/>
      <c r="H190" s="13"/>
      <c r="I190" s="13"/>
    </row>
    <row r="191" customFormat="false" ht="15" hidden="false" customHeight="false" outlineLevel="0" collapsed="false">
      <c r="A191" s="13"/>
      <c r="B191" s="14"/>
      <c r="C191" s="13"/>
      <c r="D191" s="13"/>
      <c r="E191" s="13"/>
      <c r="F191" s="15"/>
      <c r="G191" s="13"/>
      <c r="H191" s="13"/>
      <c r="I191" s="13"/>
    </row>
    <row r="192" customFormat="false" ht="15" hidden="false" customHeight="false" outlineLevel="0" collapsed="false">
      <c r="A192" s="13"/>
      <c r="B192" s="14"/>
      <c r="C192" s="13"/>
      <c r="D192" s="13"/>
      <c r="E192" s="13"/>
      <c r="F192" s="15"/>
      <c r="G192" s="13"/>
      <c r="H192" s="13"/>
      <c r="I192" s="13"/>
    </row>
    <row r="193" customFormat="false" ht="15" hidden="false" customHeight="false" outlineLevel="0" collapsed="false">
      <c r="A193" s="13"/>
      <c r="B193" s="14"/>
      <c r="C193" s="13"/>
      <c r="D193" s="13"/>
      <c r="E193" s="13"/>
      <c r="F193" s="15"/>
      <c r="G193" s="13"/>
      <c r="H193" s="13"/>
      <c r="I193" s="13"/>
    </row>
    <row r="194" customFormat="false" ht="15" hidden="false" customHeight="false" outlineLevel="0" collapsed="false">
      <c r="A194" s="13"/>
      <c r="B194" s="14"/>
      <c r="C194" s="13"/>
      <c r="D194" s="13"/>
      <c r="E194" s="13"/>
      <c r="F194" s="15"/>
      <c r="G194" s="13"/>
      <c r="H194" s="13"/>
      <c r="I194" s="13"/>
    </row>
    <row r="195" customFormat="false" ht="15" hidden="false" customHeight="false" outlineLevel="0" collapsed="false">
      <c r="A195" s="13"/>
      <c r="B195" s="14"/>
      <c r="C195" s="13"/>
      <c r="D195" s="13"/>
      <c r="E195" s="13"/>
      <c r="F195" s="15"/>
      <c r="G195" s="13"/>
      <c r="H195" s="13"/>
      <c r="I195" s="13"/>
    </row>
    <row r="196" customFormat="false" ht="15" hidden="false" customHeight="false" outlineLevel="0" collapsed="false">
      <c r="A196" s="13"/>
      <c r="B196" s="14"/>
      <c r="C196" s="13"/>
      <c r="D196" s="13"/>
      <c r="E196" s="13"/>
      <c r="F196" s="15"/>
      <c r="G196" s="13"/>
      <c r="H196" s="13"/>
      <c r="I196" s="13"/>
    </row>
    <row r="197" customFormat="false" ht="15" hidden="false" customHeight="false" outlineLevel="0" collapsed="false">
      <c r="A197" s="13"/>
      <c r="B197" s="14"/>
      <c r="C197" s="13"/>
      <c r="D197" s="13"/>
      <c r="E197" s="13"/>
      <c r="F197" s="15"/>
      <c r="G197" s="13"/>
      <c r="H197" s="13"/>
      <c r="I197" s="13"/>
    </row>
    <row r="198" customFormat="false" ht="15" hidden="false" customHeight="false" outlineLevel="0" collapsed="false">
      <c r="A198" s="13"/>
      <c r="B198" s="14"/>
      <c r="C198" s="13"/>
      <c r="D198" s="13"/>
      <c r="E198" s="13"/>
      <c r="F198" s="15"/>
      <c r="G198" s="13"/>
      <c r="H198" s="13"/>
      <c r="I198" s="13"/>
    </row>
    <row r="199" customFormat="false" ht="15" hidden="false" customHeight="false" outlineLevel="0" collapsed="false">
      <c r="A199" s="13"/>
      <c r="B199" s="14"/>
      <c r="C199" s="13"/>
      <c r="D199" s="13"/>
      <c r="E199" s="13"/>
      <c r="F199" s="15"/>
      <c r="G199" s="13"/>
      <c r="H199" s="13"/>
      <c r="I199" s="13"/>
    </row>
    <row r="200" customFormat="false" ht="15" hidden="false" customHeight="false" outlineLevel="0" collapsed="false">
      <c r="A200" s="13"/>
      <c r="B200" s="14"/>
      <c r="C200" s="13"/>
      <c r="D200" s="13"/>
      <c r="E200" s="13"/>
      <c r="F200" s="15"/>
      <c r="G200" s="13"/>
      <c r="H200" s="13"/>
      <c r="I200" s="13"/>
    </row>
    <row r="201" customFormat="false" ht="15" hidden="false" customHeight="false" outlineLevel="0" collapsed="false">
      <c r="A201" s="13"/>
      <c r="B201" s="14"/>
      <c r="C201" s="13"/>
      <c r="D201" s="13"/>
      <c r="E201" s="13"/>
      <c r="F201" s="15"/>
      <c r="G201" s="13"/>
      <c r="H201" s="13"/>
      <c r="I201" s="13"/>
    </row>
    <row r="202" customFormat="false" ht="15" hidden="false" customHeight="false" outlineLevel="0" collapsed="false">
      <c r="A202" s="13"/>
      <c r="B202" s="14"/>
      <c r="C202" s="13"/>
      <c r="D202" s="13"/>
      <c r="E202" s="13"/>
      <c r="F202" s="15"/>
      <c r="G202" s="13"/>
      <c r="H202" s="13"/>
      <c r="I202" s="13"/>
    </row>
    <row r="203" customFormat="false" ht="15" hidden="false" customHeight="false" outlineLevel="0" collapsed="false">
      <c r="A203" s="13"/>
      <c r="B203" s="14"/>
      <c r="C203" s="13"/>
      <c r="D203" s="13"/>
      <c r="E203" s="13"/>
      <c r="F203" s="15"/>
      <c r="G203" s="13"/>
      <c r="H203" s="13"/>
      <c r="I203" s="13"/>
    </row>
    <row r="204" customFormat="false" ht="15" hidden="false" customHeight="false" outlineLevel="0" collapsed="false">
      <c r="A204" s="13"/>
      <c r="B204" s="14"/>
      <c r="C204" s="13"/>
      <c r="D204" s="13"/>
      <c r="E204" s="13"/>
      <c r="F204" s="15"/>
      <c r="G204" s="13"/>
      <c r="H204" s="13"/>
      <c r="I204" s="13"/>
    </row>
    <row r="205" customFormat="false" ht="15" hidden="false" customHeight="false" outlineLevel="0" collapsed="false">
      <c r="A205" s="13"/>
      <c r="B205" s="14"/>
      <c r="C205" s="13"/>
      <c r="D205" s="13"/>
      <c r="E205" s="13"/>
      <c r="F205" s="15"/>
      <c r="G205" s="13"/>
      <c r="H205" s="13"/>
      <c r="I205" s="13"/>
    </row>
    <row r="206" customFormat="false" ht="15" hidden="false" customHeight="false" outlineLevel="0" collapsed="false">
      <c r="A206" s="13"/>
      <c r="B206" s="14"/>
      <c r="C206" s="13"/>
      <c r="D206" s="13"/>
      <c r="E206" s="13"/>
      <c r="F206" s="15"/>
      <c r="G206" s="13"/>
      <c r="H206" s="13"/>
      <c r="I206" s="13"/>
    </row>
    <row r="207" customFormat="false" ht="15" hidden="false" customHeight="false" outlineLevel="0" collapsed="false">
      <c r="A207" s="13"/>
      <c r="B207" s="14"/>
      <c r="C207" s="13"/>
      <c r="D207" s="13"/>
      <c r="E207" s="13"/>
      <c r="F207" s="15"/>
      <c r="G207" s="13"/>
      <c r="H207" s="13"/>
      <c r="I207" s="13"/>
    </row>
    <row r="208" customFormat="false" ht="15" hidden="false" customHeight="false" outlineLevel="0" collapsed="false">
      <c r="A208" s="13"/>
      <c r="B208" s="14"/>
      <c r="C208" s="13"/>
      <c r="D208" s="13"/>
      <c r="E208" s="13"/>
      <c r="F208" s="15"/>
      <c r="G208" s="13"/>
      <c r="H208" s="13"/>
      <c r="I208" s="13"/>
    </row>
    <row r="209" customFormat="false" ht="15" hidden="false" customHeight="false" outlineLevel="0" collapsed="false">
      <c r="A209" s="13"/>
      <c r="B209" s="14"/>
      <c r="C209" s="13"/>
      <c r="D209" s="13"/>
      <c r="E209" s="13"/>
      <c r="F209" s="15"/>
      <c r="G209" s="13"/>
      <c r="H209" s="13"/>
      <c r="I209" s="13"/>
    </row>
    <row r="210" customFormat="false" ht="15" hidden="false" customHeight="false" outlineLevel="0" collapsed="false">
      <c r="A210" s="13"/>
      <c r="B210" s="14"/>
      <c r="C210" s="13"/>
      <c r="D210" s="13"/>
      <c r="E210" s="13"/>
      <c r="F210" s="15"/>
      <c r="G210" s="13"/>
      <c r="H210" s="13"/>
      <c r="I210" s="13"/>
    </row>
    <row r="211" customFormat="false" ht="15" hidden="false" customHeight="false" outlineLevel="0" collapsed="false">
      <c r="A211" s="13"/>
      <c r="B211" s="14"/>
      <c r="C211" s="13"/>
      <c r="D211" s="13"/>
      <c r="E211" s="13"/>
      <c r="F211" s="15"/>
      <c r="G211" s="13"/>
      <c r="H211" s="13"/>
      <c r="I211" s="13"/>
    </row>
    <row r="212" customFormat="false" ht="15" hidden="false" customHeight="false" outlineLevel="0" collapsed="false">
      <c r="A212" s="13"/>
      <c r="B212" s="14"/>
      <c r="C212" s="13"/>
      <c r="D212" s="13"/>
      <c r="E212" s="13"/>
      <c r="F212" s="15"/>
      <c r="G212" s="13"/>
      <c r="H212" s="13"/>
      <c r="I212" s="13"/>
    </row>
    <row r="213" customFormat="false" ht="15" hidden="false" customHeight="false" outlineLevel="0" collapsed="false">
      <c r="A213" s="13"/>
      <c r="B213" s="14"/>
      <c r="C213" s="13"/>
      <c r="D213" s="13"/>
      <c r="E213" s="13"/>
      <c r="F213" s="15"/>
      <c r="G213" s="13"/>
      <c r="H213" s="13"/>
      <c r="I213" s="13"/>
    </row>
    <row r="214" customFormat="false" ht="15" hidden="false" customHeight="false" outlineLevel="0" collapsed="false">
      <c r="A214" s="13"/>
      <c r="B214" s="14"/>
      <c r="C214" s="13"/>
      <c r="D214" s="13"/>
      <c r="E214" s="13"/>
      <c r="F214" s="15"/>
      <c r="G214" s="13"/>
      <c r="H214" s="13"/>
      <c r="I214" s="13"/>
    </row>
    <row r="215" customFormat="false" ht="15" hidden="false" customHeight="false" outlineLevel="0" collapsed="false">
      <c r="A215" s="13"/>
      <c r="B215" s="14"/>
      <c r="C215" s="13"/>
      <c r="D215" s="13"/>
      <c r="E215" s="13"/>
      <c r="F215" s="15"/>
      <c r="G215" s="13"/>
      <c r="H215" s="13"/>
      <c r="I215" s="13"/>
    </row>
    <row r="216" customFormat="false" ht="15" hidden="false" customHeight="false" outlineLevel="0" collapsed="false">
      <c r="A216" s="13"/>
      <c r="B216" s="14"/>
      <c r="C216" s="13"/>
      <c r="D216" s="13"/>
      <c r="E216" s="13"/>
      <c r="F216" s="15"/>
      <c r="G216" s="13"/>
      <c r="H216" s="13"/>
      <c r="I216" s="13"/>
    </row>
    <row r="217" customFormat="false" ht="15" hidden="false" customHeight="false" outlineLevel="0" collapsed="false">
      <c r="A217" s="13"/>
      <c r="B217" s="14"/>
      <c r="C217" s="13"/>
      <c r="D217" s="13"/>
      <c r="E217" s="13"/>
      <c r="F217" s="15"/>
      <c r="G217" s="13"/>
      <c r="H217" s="13"/>
      <c r="I217" s="13"/>
    </row>
    <row r="218" customFormat="false" ht="15" hidden="false" customHeight="false" outlineLevel="0" collapsed="false">
      <c r="A218" s="13"/>
      <c r="B218" s="14"/>
      <c r="C218" s="13"/>
      <c r="D218" s="13"/>
      <c r="E218" s="13"/>
      <c r="F218" s="15"/>
      <c r="G218" s="13"/>
      <c r="H218" s="13"/>
      <c r="I218" s="13"/>
    </row>
    <row r="219" customFormat="false" ht="15" hidden="false" customHeight="false" outlineLevel="0" collapsed="false">
      <c r="A219" s="13"/>
      <c r="B219" s="14"/>
      <c r="C219" s="13"/>
      <c r="D219" s="13"/>
      <c r="E219" s="13"/>
      <c r="F219" s="15"/>
      <c r="G219" s="13"/>
      <c r="H219" s="13"/>
      <c r="I219" s="13"/>
    </row>
    <row r="220" customFormat="false" ht="15" hidden="false" customHeight="false" outlineLevel="0" collapsed="false">
      <c r="A220" s="13"/>
      <c r="B220" s="14"/>
      <c r="C220" s="13"/>
      <c r="D220" s="13"/>
      <c r="E220" s="13"/>
      <c r="F220" s="15"/>
      <c r="G220" s="13"/>
      <c r="H220" s="13"/>
      <c r="I220" s="13"/>
    </row>
    <row r="221" customFormat="false" ht="15" hidden="false" customHeight="false" outlineLevel="0" collapsed="false">
      <c r="A221" s="13"/>
      <c r="B221" s="14"/>
      <c r="C221" s="13"/>
      <c r="D221" s="13"/>
      <c r="E221" s="13"/>
      <c r="F221" s="15"/>
      <c r="G221" s="13"/>
      <c r="H221" s="13"/>
      <c r="I221" s="13"/>
    </row>
    <row r="222" customFormat="false" ht="15" hidden="false" customHeight="false" outlineLevel="0" collapsed="false">
      <c r="A222" s="13"/>
      <c r="B222" s="14"/>
      <c r="C222" s="13"/>
      <c r="D222" s="13"/>
      <c r="E222" s="13"/>
      <c r="F222" s="15"/>
      <c r="G222" s="13"/>
      <c r="H222" s="13"/>
      <c r="I222" s="13"/>
    </row>
    <row r="223" customFormat="false" ht="15" hidden="false" customHeight="false" outlineLevel="0" collapsed="false">
      <c r="A223" s="13"/>
      <c r="B223" s="14"/>
      <c r="C223" s="13"/>
      <c r="D223" s="13"/>
      <c r="E223" s="13"/>
      <c r="F223" s="15"/>
      <c r="G223" s="13"/>
      <c r="H223" s="13"/>
      <c r="I223" s="13"/>
    </row>
    <row r="224" customFormat="false" ht="15" hidden="false" customHeight="false" outlineLevel="0" collapsed="false">
      <c r="A224" s="13"/>
      <c r="B224" s="14"/>
      <c r="C224" s="13"/>
      <c r="D224" s="13"/>
      <c r="E224" s="13"/>
      <c r="F224" s="15"/>
      <c r="G224" s="13"/>
      <c r="H224" s="13"/>
      <c r="I224" s="13"/>
    </row>
    <row r="225" customFormat="false" ht="15" hidden="false" customHeight="false" outlineLevel="0" collapsed="false">
      <c r="A225" s="13"/>
      <c r="B225" s="14"/>
      <c r="C225" s="13"/>
      <c r="D225" s="13"/>
      <c r="E225" s="13"/>
      <c r="F225" s="15"/>
      <c r="G225" s="13"/>
      <c r="H225" s="13"/>
      <c r="I225" s="13"/>
    </row>
    <row r="226" customFormat="false" ht="15" hidden="false" customHeight="false" outlineLevel="0" collapsed="false">
      <c r="A226" s="13"/>
      <c r="B226" s="14"/>
      <c r="C226" s="13"/>
      <c r="D226" s="13"/>
      <c r="E226" s="13"/>
      <c r="F226" s="15"/>
      <c r="G226" s="13"/>
      <c r="H226" s="13"/>
      <c r="I226" s="13"/>
    </row>
    <row r="227" customFormat="false" ht="15" hidden="false" customHeight="false" outlineLevel="0" collapsed="false">
      <c r="A227" s="13"/>
      <c r="B227" s="14"/>
      <c r="C227" s="13"/>
      <c r="D227" s="13"/>
      <c r="E227" s="13"/>
      <c r="F227" s="15"/>
      <c r="G227" s="13"/>
      <c r="H227" s="13"/>
      <c r="I227" s="13"/>
    </row>
    <row r="228" customFormat="false" ht="15" hidden="false" customHeight="false" outlineLevel="0" collapsed="false">
      <c r="A228" s="13"/>
      <c r="B228" s="14"/>
      <c r="C228" s="13"/>
      <c r="D228" s="13"/>
      <c r="E228" s="13"/>
      <c r="F228" s="15"/>
      <c r="G228" s="13"/>
      <c r="H228" s="13"/>
      <c r="I228" s="13"/>
    </row>
    <row r="229" customFormat="false" ht="15" hidden="false" customHeight="false" outlineLevel="0" collapsed="false">
      <c r="A229" s="13"/>
      <c r="B229" s="14"/>
      <c r="C229" s="13"/>
      <c r="D229" s="13"/>
      <c r="E229" s="13"/>
      <c r="F229" s="15"/>
      <c r="G229" s="13"/>
      <c r="H229" s="13"/>
      <c r="I229" s="13"/>
    </row>
    <row r="230" customFormat="false" ht="15" hidden="false" customHeight="false" outlineLevel="0" collapsed="false">
      <c r="A230" s="13"/>
      <c r="B230" s="14"/>
      <c r="C230" s="13"/>
      <c r="D230" s="13"/>
      <c r="E230" s="13"/>
      <c r="F230" s="15"/>
      <c r="G230" s="13"/>
      <c r="H230" s="13"/>
      <c r="I230" s="13"/>
    </row>
    <row r="231" customFormat="false" ht="15" hidden="false" customHeight="false" outlineLevel="0" collapsed="false">
      <c r="A231" s="13"/>
      <c r="B231" s="14"/>
      <c r="C231" s="13"/>
      <c r="D231" s="13"/>
      <c r="E231" s="13"/>
      <c r="F231" s="15"/>
      <c r="G231" s="13"/>
      <c r="H231" s="13"/>
      <c r="I231" s="13"/>
    </row>
    <row r="232" customFormat="false" ht="15" hidden="false" customHeight="false" outlineLevel="0" collapsed="false">
      <c r="A232" s="13"/>
      <c r="B232" s="14"/>
      <c r="C232" s="13"/>
      <c r="D232" s="13"/>
      <c r="E232" s="13"/>
      <c r="F232" s="15"/>
      <c r="G232" s="13"/>
      <c r="H232" s="13"/>
      <c r="I232" s="13"/>
    </row>
    <row r="233" customFormat="false" ht="15" hidden="false" customHeight="false" outlineLevel="0" collapsed="false">
      <c r="A233" s="13"/>
      <c r="B233" s="14"/>
      <c r="C233" s="13"/>
      <c r="D233" s="13"/>
      <c r="E233" s="13"/>
      <c r="F233" s="15"/>
      <c r="G233" s="13"/>
      <c r="H233" s="13"/>
      <c r="I233" s="13"/>
    </row>
    <row r="234" customFormat="false" ht="15" hidden="false" customHeight="false" outlineLevel="0" collapsed="false">
      <c r="A234" s="13"/>
      <c r="B234" s="14"/>
      <c r="C234" s="13"/>
      <c r="D234" s="13"/>
      <c r="E234" s="13"/>
      <c r="F234" s="15"/>
      <c r="G234" s="13"/>
      <c r="H234" s="13"/>
      <c r="I234" s="13"/>
    </row>
    <row r="235" customFormat="false" ht="15" hidden="false" customHeight="false" outlineLevel="0" collapsed="false">
      <c r="A235" s="13"/>
      <c r="B235" s="14"/>
      <c r="C235" s="13"/>
      <c r="D235" s="13"/>
      <c r="E235" s="13"/>
      <c r="F235" s="15"/>
      <c r="G235" s="13"/>
      <c r="H235" s="13"/>
      <c r="I235" s="13"/>
    </row>
    <row r="236" customFormat="false" ht="15" hidden="false" customHeight="false" outlineLevel="0" collapsed="false">
      <c r="A236" s="13"/>
      <c r="B236" s="14"/>
      <c r="C236" s="13"/>
      <c r="D236" s="13"/>
      <c r="E236" s="13"/>
      <c r="F236" s="15"/>
      <c r="G236" s="13"/>
      <c r="H236" s="13"/>
      <c r="I236" s="13"/>
    </row>
    <row r="237" customFormat="false" ht="15" hidden="false" customHeight="false" outlineLevel="0" collapsed="false">
      <c r="A237" s="13"/>
      <c r="B237" s="14"/>
      <c r="C237" s="13"/>
      <c r="D237" s="13"/>
      <c r="E237" s="13"/>
      <c r="F237" s="15"/>
      <c r="G237" s="13"/>
      <c r="H237" s="13"/>
      <c r="I237" s="13"/>
    </row>
    <row r="238" customFormat="false" ht="15" hidden="false" customHeight="false" outlineLevel="0" collapsed="false">
      <c r="A238" s="13"/>
      <c r="B238" s="14"/>
      <c r="C238" s="13"/>
      <c r="D238" s="13"/>
      <c r="E238" s="13"/>
      <c r="F238" s="15"/>
      <c r="G238" s="13"/>
      <c r="H238" s="13"/>
      <c r="I238" s="13"/>
    </row>
    <row r="239" customFormat="false" ht="15" hidden="false" customHeight="false" outlineLevel="0" collapsed="false">
      <c r="A239" s="13"/>
      <c r="B239" s="14"/>
      <c r="C239" s="13"/>
      <c r="D239" s="13"/>
      <c r="E239" s="13"/>
      <c r="F239" s="15"/>
      <c r="G239" s="13"/>
      <c r="H239" s="13"/>
      <c r="I239" s="13"/>
    </row>
    <row r="240" customFormat="false" ht="15" hidden="false" customHeight="false" outlineLevel="0" collapsed="false">
      <c r="A240" s="13"/>
      <c r="B240" s="14"/>
      <c r="C240" s="13"/>
      <c r="D240" s="13"/>
      <c r="E240" s="13"/>
      <c r="F240" s="15"/>
      <c r="G240" s="13"/>
      <c r="H240" s="13"/>
      <c r="I240" s="13"/>
    </row>
    <row r="241" customFormat="false" ht="15" hidden="false" customHeight="false" outlineLevel="0" collapsed="false">
      <c r="A241" s="13"/>
      <c r="B241" s="14"/>
      <c r="C241" s="13"/>
      <c r="D241" s="13"/>
      <c r="E241" s="13"/>
      <c r="F241" s="15"/>
      <c r="G241" s="13"/>
      <c r="H241" s="13"/>
      <c r="I241" s="13"/>
    </row>
    <row r="242" customFormat="false" ht="15" hidden="false" customHeight="false" outlineLevel="0" collapsed="false">
      <c r="A242" s="13"/>
      <c r="B242" s="14"/>
      <c r="C242" s="13"/>
      <c r="D242" s="13"/>
      <c r="E242" s="13"/>
      <c r="F242" s="15"/>
      <c r="G242" s="13"/>
      <c r="H242" s="13"/>
      <c r="I242" s="13"/>
    </row>
    <row r="243" customFormat="false" ht="15" hidden="false" customHeight="false" outlineLevel="0" collapsed="false">
      <c r="A243" s="13"/>
      <c r="B243" s="14"/>
      <c r="C243" s="13"/>
      <c r="D243" s="13"/>
      <c r="E243" s="13"/>
      <c r="F243" s="15"/>
      <c r="G243" s="13"/>
      <c r="H243" s="13"/>
      <c r="I243" s="13"/>
    </row>
    <row r="244" customFormat="false" ht="15" hidden="false" customHeight="false" outlineLevel="0" collapsed="false">
      <c r="A244" s="13"/>
      <c r="B244" s="14"/>
      <c r="C244" s="13"/>
      <c r="D244" s="13"/>
      <c r="E244" s="13"/>
      <c r="F244" s="15"/>
      <c r="G244" s="13"/>
      <c r="H244" s="13"/>
      <c r="I244" s="13"/>
    </row>
    <row r="245" customFormat="false" ht="15" hidden="false" customHeight="false" outlineLevel="0" collapsed="false">
      <c r="A245" s="13"/>
      <c r="B245" s="14"/>
      <c r="C245" s="13"/>
      <c r="D245" s="13"/>
      <c r="E245" s="13"/>
      <c r="F245" s="15"/>
      <c r="G245" s="13"/>
      <c r="H245" s="13"/>
      <c r="I245" s="13"/>
    </row>
    <row r="246" customFormat="false" ht="15" hidden="false" customHeight="false" outlineLevel="0" collapsed="false">
      <c r="A246" s="13"/>
      <c r="B246" s="14"/>
      <c r="C246" s="13"/>
      <c r="D246" s="13"/>
      <c r="E246" s="13"/>
      <c r="F246" s="15"/>
      <c r="G246" s="13"/>
      <c r="H246" s="13"/>
      <c r="I246" s="13"/>
    </row>
    <row r="247" customFormat="false" ht="15" hidden="false" customHeight="false" outlineLevel="0" collapsed="false">
      <c r="A247" s="13"/>
      <c r="B247" s="14"/>
      <c r="C247" s="13"/>
      <c r="D247" s="13"/>
      <c r="E247" s="13"/>
      <c r="F247" s="15"/>
      <c r="G247" s="13"/>
      <c r="H247" s="13"/>
      <c r="I247" s="13"/>
    </row>
    <row r="248" customFormat="false" ht="15" hidden="false" customHeight="false" outlineLevel="0" collapsed="false">
      <c r="A248" s="13"/>
      <c r="B248" s="14"/>
      <c r="C248" s="13"/>
      <c r="D248" s="13"/>
      <c r="E248" s="13"/>
      <c r="F248" s="15"/>
      <c r="G248" s="13"/>
      <c r="H248" s="13"/>
      <c r="I248" s="13"/>
    </row>
    <row r="249" customFormat="false" ht="15" hidden="false" customHeight="false" outlineLevel="0" collapsed="false">
      <c r="A249" s="13"/>
      <c r="B249" s="14"/>
      <c r="C249" s="13"/>
      <c r="D249" s="13"/>
      <c r="E249" s="13"/>
      <c r="F249" s="15"/>
      <c r="G249" s="13"/>
      <c r="H249" s="13"/>
      <c r="I249" s="13"/>
    </row>
    <row r="250" customFormat="false" ht="15" hidden="false" customHeight="false" outlineLevel="0" collapsed="false">
      <c r="A250" s="13"/>
      <c r="B250" s="14"/>
      <c r="C250" s="13"/>
      <c r="D250" s="13"/>
      <c r="E250" s="13"/>
      <c r="F250" s="15"/>
      <c r="G250" s="13"/>
      <c r="H250" s="13"/>
      <c r="I250" s="13"/>
    </row>
    <row r="251" customFormat="false" ht="15" hidden="false" customHeight="false" outlineLevel="0" collapsed="false">
      <c r="A251" s="13"/>
      <c r="B251" s="14"/>
      <c r="C251" s="13"/>
      <c r="D251" s="13"/>
      <c r="E251" s="13"/>
      <c r="F251" s="15"/>
      <c r="G251" s="13"/>
      <c r="H251" s="13"/>
      <c r="I251" s="13"/>
    </row>
    <row r="252" customFormat="false" ht="15" hidden="false" customHeight="false" outlineLevel="0" collapsed="false">
      <c r="A252" s="13"/>
      <c r="B252" s="14"/>
      <c r="C252" s="13"/>
      <c r="D252" s="13"/>
      <c r="E252" s="13"/>
      <c r="F252" s="15"/>
      <c r="G252" s="13"/>
      <c r="H252" s="13"/>
      <c r="I252" s="13"/>
    </row>
    <row r="253" customFormat="false" ht="15" hidden="false" customHeight="false" outlineLevel="0" collapsed="false">
      <c r="A253" s="13"/>
      <c r="B253" s="14"/>
      <c r="C253" s="13"/>
      <c r="D253" s="13"/>
      <c r="E253" s="13"/>
      <c r="F253" s="15"/>
      <c r="G253" s="13"/>
      <c r="H253" s="13"/>
      <c r="I253" s="13"/>
    </row>
    <row r="254" customFormat="false" ht="15" hidden="false" customHeight="false" outlineLevel="0" collapsed="false">
      <c r="A254" s="13"/>
      <c r="B254" s="14"/>
      <c r="C254" s="13"/>
      <c r="D254" s="13"/>
      <c r="E254" s="13"/>
      <c r="F254" s="15"/>
      <c r="G254" s="13"/>
      <c r="H254" s="13"/>
      <c r="I254" s="13"/>
    </row>
    <row r="255" customFormat="false" ht="15" hidden="false" customHeight="false" outlineLevel="0" collapsed="false">
      <c r="A255" s="13"/>
      <c r="B255" s="14"/>
      <c r="C255" s="13"/>
      <c r="D255" s="13"/>
      <c r="E255" s="13"/>
      <c r="F255" s="15"/>
      <c r="G255" s="13"/>
      <c r="H255" s="13"/>
      <c r="I255" s="13"/>
    </row>
    <row r="256" customFormat="false" ht="15" hidden="false" customHeight="false" outlineLevel="0" collapsed="false">
      <c r="A256" s="13"/>
      <c r="B256" s="14"/>
      <c r="C256" s="13"/>
      <c r="D256" s="13"/>
      <c r="E256" s="13"/>
      <c r="F256" s="15"/>
      <c r="G256" s="13"/>
      <c r="H256" s="13"/>
      <c r="I256" s="13"/>
    </row>
    <row r="257" customFormat="false" ht="15" hidden="false" customHeight="false" outlineLevel="0" collapsed="false">
      <c r="A257" s="13"/>
      <c r="B257" s="14"/>
      <c r="C257" s="13"/>
      <c r="D257" s="13"/>
      <c r="E257" s="13"/>
      <c r="F257" s="15"/>
      <c r="G257" s="13"/>
      <c r="H257" s="13"/>
      <c r="I257" s="13"/>
    </row>
    <row r="258" customFormat="false" ht="15" hidden="false" customHeight="false" outlineLevel="0" collapsed="false">
      <c r="A258" s="13"/>
      <c r="B258" s="14"/>
      <c r="C258" s="13"/>
      <c r="D258" s="13"/>
      <c r="E258" s="13"/>
      <c r="F258" s="15"/>
      <c r="G258" s="13"/>
      <c r="H258" s="13"/>
      <c r="I258" s="13"/>
    </row>
    <row r="259" customFormat="false" ht="15" hidden="false" customHeight="false" outlineLevel="0" collapsed="false">
      <c r="A259" s="13"/>
      <c r="B259" s="14"/>
      <c r="C259" s="13"/>
      <c r="D259" s="13"/>
      <c r="E259" s="13"/>
      <c r="F259" s="15"/>
      <c r="G259" s="13"/>
      <c r="H259" s="13"/>
      <c r="I259" s="13"/>
    </row>
    <row r="260" customFormat="false" ht="15" hidden="false" customHeight="false" outlineLevel="0" collapsed="false">
      <c r="A260" s="13"/>
      <c r="B260" s="14"/>
      <c r="C260" s="13"/>
      <c r="D260" s="13"/>
      <c r="E260" s="13"/>
      <c r="F260" s="15"/>
      <c r="G260" s="13"/>
      <c r="H260" s="13"/>
      <c r="I260" s="13"/>
    </row>
    <row r="261" customFormat="false" ht="15" hidden="false" customHeight="false" outlineLevel="0" collapsed="false">
      <c r="A261" s="13"/>
      <c r="B261" s="14"/>
      <c r="C261" s="13"/>
      <c r="D261" s="13"/>
      <c r="E261" s="13"/>
      <c r="F261" s="15"/>
      <c r="G261" s="13"/>
      <c r="H261" s="13"/>
      <c r="I261" s="13"/>
    </row>
    <row r="262" customFormat="false" ht="15" hidden="false" customHeight="false" outlineLevel="0" collapsed="false">
      <c r="A262" s="13"/>
      <c r="B262" s="14"/>
      <c r="C262" s="13"/>
      <c r="D262" s="13"/>
      <c r="E262" s="13"/>
      <c r="F262" s="15"/>
      <c r="G262" s="13"/>
      <c r="H262" s="13"/>
      <c r="I262" s="13"/>
    </row>
    <row r="263" customFormat="false" ht="15" hidden="false" customHeight="false" outlineLevel="0" collapsed="false">
      <c r="A263" s="13"/>
      <c r="B263" s="14"/>
      <c r="C263" s="13"/>
      <c r="D263" s="13"/>
      <c r="E263" s="13"/>
      <c r="F263" s="15"/>
      <c r="G263" s="13"/>
      <c r="H263" s="13"/>
      <c r="I263" s="13"/>
    </row>
    <row r="264" customFormat="false" ht="15" hidden="false" customHeight="false" outlineLevel="0" collapsed="false">
      <c r="A264" s="13"/>
      <c r="B264" s="14"/>
      <c r="C264" s="13"/>
      <c r="D264" s="13"/>
      <c r="E264" s="13"/>
      <c r="F264" s="15"/>
      <c r="G264" s="13"/>
      <c r="H264" s="13"/>
      <c r="I264" s="13"/>
    </row>
    <row r="265" customFormat="false" ht="15" hidden="false" customHeight="false" outlineLevel="0" collapsed="false">
      <c r="A265" s="13"/>
      <c r="B265" s="14"/>
      <c r="C265" s="13"/>
      <c r="D265" s="13"/>
      <c r="E265" s="13"/>
      <c r="F265" s="15"/>
      <c r="G265" s="13"/>
      <c r="H265" s="13"/>
      <c r="I265" s="13"/>
    </row>
    <row r="266" customFormat="false" ht="15" hidden="false" customHeight="false" outlineLevel="0" collapsed="false">
      <c r="A266" s="13"/>
      <c r="B266" s="14"/>
      <c r="C266" s="13"/>
      <c r="D266" s="13"/>
      <c r="E266" s="13"/>
      <c r="F266" s="15"/>
      <c r="G266" s="13"/>
      <c r="H266" s="13"/>
      <c r="I266" s="13"/>
    </row>
    <row r="267" customFormat="false" ht="15" hidden="false" customHeight="false" outlineLevel="0" collapsed="false">
      <c r="A267" s="13"/>
      <c r="B267" s="14"/>
      <c r="C267" s="13"/>
      <c r="D267" s="13"/>
      <c r="E267" s="13"/>
      <c r="F267" s="15"/>
      <c r="G267" s="13"/>
      <c r="H267" s="13"/>
      <c r="I267" s="13"/>
    </row>
    <row r="268" customFormat="false" ht="15" hidden="false" customHeight="false" outlineLevel="0" collapsed="false">
      <c r="A268" s="13"/>
      <c r="B268" s="14"/>
      <c r="C268" s="13"/>
      <c r="D268" s="13"/>
      <c r="E268" s="13"/>
      <c r="F268" s="15"/>
      <c r="G268" s="13"/>
      <c r="H268" s="13"/>
      <c r="I268" s="13"/>
    </row>
    <row r="269" customFormat="false" ht="15" hidden="false" customHeight="false" outlineLevel="0" collapsed="false">
      <c r="A269" s="13"/>
      <c r="B269" s="14"/>
      <c r="C269" s="13"/>
      <c r="D269" s="13"/>
      <c r="E269" s="13"/>
      <c r="F269" s="15"/>
      <c r="G269" s="13"/>
      <c r="H269" s="13"/>
      <c r="I269" s="13"/>
    </row>
    <row r="270" customFormat="false" ht="15" hidden="false" customHeight="false" outlineLevel="0" collapsed="false">
      <c r="A270" s="13"/>
      <c r="B270" s="14"/>
      <c r="C270" s="13"/>
      <c r="D270" s="13"/>
      <c r="E270" s="13"/>
      <c r="F270" s="15"/>
      <c r="G270" s="13"/>
      <c r="H270" s="13"/>
      <c r="I270" s="13"/>
    </row>
    <row r="271" customFormat="false" ht="15" hidden="false" customHeight="false" outlineLevel="0" collapsed="false">
      <c r="A271" s="13"/>
      <c r="B271" s="14"/>
      <c r="C271" s="13"/>
      <c r="D271" s="13"/>
      <c r="E271" s="13"/>
      <c r="F271" s="15"/>
      <c r="G271" s="13"/>
      <c r="H271" s="13"/>
      <c r="I271" s="13"/>
    </row>
    <row r="272" customFormat="false" ht="15" hidden="false" customHeight="false" outlineLevel="0" collapsed="false">
      <c r="A272" s="13"/>
      <c r="B272" s="14"/>
      <c r="C272" s="13"/>
      <c r="D272" s="13"/>
      <c r="E272" s="13"/>
      <c r="F272" s="15"/>
      <c r="G272" s="13"/>
      <c r="H272" s="13"/>
      <c r="I272" s="13"/>
    </row>
    <row r="273" customFormat="false" ht="15" hidden="false" customHeight="false" outlineLevel="0" collapsed="false">
      <c r="A273" s="13"/>
      <c r="B273" s="14"/>
      <c r="C273" s="13"/>
      <c r="D273" s="13"/>
      <c r="E273" s="13"/>
      <c r="F273" s="15"/>
      <c r="G273" s="13"/>
      <c r="H273" s="13"/>
      <c r="I273" s="13"/>
    </row>
    <row r="274" customFormat="false" ht="15" hidden="false" customHeight="false" outlineLevel="0" collapsed="false">
      <c r="A274" s="13"/>
      <c r="B274" s="14"/>
      <c r="C274" s="13"/>
      <c r="D274" s="13"/>
      <c r="E274" s="13"/>
      <c r="F274" s="15"/>
      <c r="G274" s="13"/>
      <c r="H274" s="13"/>
      <c r="I274" s="13"/>
    </row>
    <row r="275" customFormat="false" ht="15" hidden="false" customHeight="false" outlineLevel="0" collapsed="false">
      <c r="A275" s="13"/>
      <c r="B275" s="14"/>
      <c r="C275" s="13"/>
      <c r="D275" s="13"/>
      <c r="E275" s="13"/>
      <c r="F275" s="15"/>
      <c r="G275" s="13"/>
      <c r="H275" s="13"/>
      <c r="I275" s="13"/>
    </row>
    <row r="276" customFormat="false" ht="15" hidden="false" customHeight="false" outlineLevel="0" collapsed="false">
      <c r="A276" s="13"/>
      <c r="B276" s="14"/>
      <c r="C276" s="13"/>
      <c r="D276" s="13"/>
      <c r="E276" s="13"/>
      <c r="F276" s="15"/>
      <c r="G276" s="13"/>
      <c r="H276" s="13"/>
      <c r="I276" s="13"/>
    </row>
    <row r="277" customFormat="false" ht="15" hidden="false" customHeight="false" outlineLevel="0" collapsed="false">
      <c r="A277" s="13"/>
      <c r="B277" s="14"/>
      <c r="C277" s="13"/>
      <c r="D277" s="13"/>
      <c r="E277" s="13"/>
      <c r="F277" s="15"/>
      <c r="G277" s="13"/>
      <c r="H277" s="13"/>
      <c r="I277" s="13"/>
    </row>
    <row r="278" customFormat="false" ht="15" hidden="false" customHeight="false" outlineLevel="0" collapsed="false">
      <c r="A278" s="13"/>
      <c r="B278" s="14"/>
      <c r="C278" s="13"/>
      <c r="D278" s="13"/>
      <c r="E278" s="13"/>
      <c r="F278" s="15"/>
      <c r="G278" s="13"/>
      <c r="H278" s="13"/>
      <c r="I278" s="13"/>
    </row>
    <row r="279" customFormat="false" ht="15" hidden="false" customHeight="false" outlineLevel="0" collapsed="false">
      <c r="A279" s="13"/>
      <c r="B279" s="14"/>
      <c r="C279" s="13"/>
      <c r="D279" s="13"/>
      <c r="E279" s="13"/>
      <c r="F279" s="15"/>
      <c r="G279" s="13"/>
      <c r="H279" s="13"/>
      <c r="I279" s="13"/>
    </row>
    <row r="280" customFormat="false" ht="15" hidden="false" customHeight="false" outlineLevel="0" collapsed="false">
      <c r="A280" s="13"/>
      <c r="B280" s="14"/>
      <c r="C280" s="13"/>
      <c r="D280" s="13"/>
      <c r="E280" s="13"/>
      <c r="F280" s="15"/>
      <c r="G280" s="13"/>
      <c r="H280" s="13"/>
      <c r="I280" s="13"/>
    </row>
    <row r="281" customFormat="false" ht="15" hidden="false" customHeight="false" outlineLevel="0" collapsed="false">
      <c r="A281" s="13"/>
      <c r="B281" s="14"/>
      <c r="C281" s="13"/>
      <c r="D281" s="13"/>
      <c r="E281" s="13"/>
      <c r="F281" s="15"/>
      <c r="G281" s="13"/>
      <c r="H281" s="13"/>
      <c r="I281" s="13"/>
    </row>
    <row r="282" customFormat="false" ht="15" hidden="false" customHeight="false" outlineLevel="0" collapsed="false">
      <c r="A282" s="13"/>
      <c r="B282" s="14"/>
      <c r="C282" s="13"/>
      <c r="D282" s="13"/>
      <c r="E282" s="13"/>
      <c r="F282" s="15"/>
      <c r="G282" s="13"/>
      <c r="H282" s="13"/>
      <c r="I282" s="13"/>
    </row>
    <row r="283" customFormat="false" ht="15" hidden="false" customHeight="false" outlineLevel="0" collapsed="false">
      <c r="A283" s="13"/>
      <c r="B283" s="14"/>
      <c r="C283" s="13"/>
      <c r="D283" s="13"/>
      <c r="E283" s="13"/>
      <c r="F283" s="15"/>
      <c r="G283" s="13"/>
      <c r="H283" s="13"/>
      <c r="I283" s="13"/>
    </row>
    <row r="284" customFormat="false" ht="15" hidden="false" customHeight="false" outlineLevel="0" collapsed="false">
      <c r="A284" s="13"/>
      <c r="B284" s="14"/>
      <c r="C284" s="13"/>
      <c r="D284" s="13"/>
      <c r="E284" s="13"/>
      <c r="F284" s="15"/>
      <c r="G284" s="13"/>
      <c r="H284" s="13"/>
      <c r="I284" s="13"/>
    </row>
    <row r="285" customFormat="false" ht="15" hidden="false" customHeight="false" outlineLevel="0" collapsed="false">
      <c r="A285" s="13"/>
      <c r="B285" s="14"/>
      <c r="C285" s="13"/>
      <c r="D285" s="13"/>
      <c r="E285" s="13"/>
      <c r="F285" s="15"/>
      <c r="G285" s="13"/>
      <c r="H285" s="13"/>
      <c r="I285" s="13"/>
    </row>
    <row r="286" customFormat="false" ht="15" hidden="false" customHeight="false" outlineLevel="0" collapsed="false">
      <c r="A286" s="13"/>
      <c r="B286" s="14"/>
      <c r="C286" s="13"/>
      <c r="D286" s="13"/>
      <c r="E286" s="13"/>
      <c r="F286" s="15"/>
      <c r="G286" s="13"/>
      <c r="H286" s="13"/>
      <c r="I286" s="13"/>
    </row>
    <row r="287" customFormat="false" ht="15" hidden="false" customHeight="false" outlineLevel="0" collapsed="false">
      <c r="A287" s="13"/>
      <c r="B287" s="14"/>
      <c r="C287" s="13"/>
      <c r="D287" s="13"/>
      <c r="E287" s="13"/>
      <c r="F287" s="15"/>
      <c r="G287" s="13"/>
      <c r="H287" s="13"/>
      <c r="I287" s="13"/>
    </row>
    <row r="288" customFormat="false" ht="15" hidden="false" customHeight="false" outlineLevel="0" collapsed="false">
      <c r="A288" s="13"/>
      <c r="B288" s="14"/>
      <c r="C288" s="13"/>
      <c r="D288" s="13"/>
      <c r="E288" s="13"/>
      <c r="F288" s="15"/>
      <c r="G288" s="13"/>
      <c r="H288" s="13"/>
      <c r="I288" s="13"/>
    </row>
    <row r="289" customFormat="false" ht="15" hidden="false" customHeight="false" outlineLevel="0" collapsed="false">
      <c r="A289" s="13"/>
      <c r="B289" s="14"/>
      <c r="C289" s="13"/>
      <c r="D289" s="13"/>
      <c r="E289" s="13"/>
      <c r="F289" s="15"/>
      <c r="G289" s="13"/>
      <c r="H289" s="13"/>
      <c r="I289" s="13"/>
    </row>
    <row r="290" customFormat="false" ht="15" hidden="false" customHeight="false" outlineLevel="0" collapsed="false">
      <c r="A290" s="13"/>
      <c r="B290" s="14"/>
      <c r="C290" s="13"/>
      <c r="D290" s="13"/>
      <c r="E290" s="13"/>
      <c r="F290" s="15"/>
      <c r="G290" s="13"/>
      <c r="H290" s="13"/>
      <c r="I290" s="13"/>
    </row>
    <row r="291" customFormat="false" ht="15" hidden="false" customHeight="false" outlineLevel="0" collapsed="false">
      <c r="A291" s="13"/>
      <c r="B291" s="14"/>
      <c r="C291" s="13"/>
      <c r="D291" s="13"/>
      <c r="E291" s="13"/>
      <c r="F291" s="15"/>
      <c r="G291" s="13"/>
      <c r="H291" s="13"/>
      <c r="I291" s="13"/>
    </row>
    <row r="292" customFormat="false" ht="15" hidden="false" customHeight="false" outlineLevel="0" collapsed="false">
      <c r="A292" s="13"/>
      <c r="B292" s="14"/>
      <c r="C292" s="13"/>
      <c r="D292" s="13"/>
      <c r="E292" s="13"/>
      <c r="F292" s="15"/>
      <c r="G292" s="13"/>
      <c r="H292" s="13"/>
      <c r="I292" s="13"/>
    </row>
    <row r="293" customFormat="false" ht="15" hidden="false" customHeight="false" outlineLevel="0" collapsed="false">
      <c r="A293" s="13"/>
      <c r="B293" s="14"/>
      <c r="C293" s="13"/>
      <c r="D293" s="13"/>
      <c r="E293" s="13"/>
      <c r="F293" s="15"/>
      <c r="G293" s="13"/>
      <c r="H293" s="13"/>
      <c r="I293" s="13"/>
    </row>
    <row r="294" customFormat="false" ht="15" hidden="false" customHeight="false" outlineLevel="0" collapsed="false">
      <c r="A294" s="13"/>
      <c r="B294" s="14"/>
      <c r="C294" s="13"/>
      <c r="D294" s="13"/>
      <c r="E294" s="13"/>
      <c r="F294" s="15"/>
      <c r="G294" s="13"/>
      <c r="H294" s="13"/>
      <c r="I294" s="13"/>
    </row>
    <row r="295" customFormat="false" ht="15" hidden="false" customHeight="false" outlineLevel="0" collapsed="false">
      <c r="A295" s="13"/>
      <c r="B295" s="14"/>
      <c r="C295" s="13"/>
      <c r="D295" s="13"/>
      <c r="E295" s="13"/>
      <c r="F295" s="15"/>
      <c r="G295" s="13"/>
      <c r="H295" s="13"/>
      <c r="I295" s="13"/>
    </row>
    <row r="296" customFormat="false" ht="15" hidden="false" customHeight="false" outlineLevel="0" collapsed="false">
      <c r="A296" s="13"/>
      <c r="B296" s="14"/>
      <c r="C296" s="13"/>
      <c r="D296" s="13"/>
      <c r="E296" s="13"/>
      <c r="F296" s="15"/>
      <c r="G296" s="13"/>
      <c r="H296" s="13"/>
      <c r="I296" s="13"/>
    </row>
    <row r="297" customFormat="false" ht="15" hidden="false" customHeight="false" outlineLevel="0" collapsed="false">
      <c r="A297" s="13"/>
      <c r="B297" s="14"/>
      <c r="C297" s="13"/>
      <c r="D297" s="13"/>
      <c r="E297" s="13"/>
      <c r="F297" s="15"/>
      <c r="G297" s="13"/>
      <c r="H297" s="13"/>
      <c r="I297" s="13"/>
    </row>
    <row r="298" customFormat="false" ht="15" hidden="false" customHeight="false" outlineLevel="0" collapsed="false">
      <c r="A298" s="13"/>
      <c r="B298" s="14"/>
      <c r="C298" s="13"/>
      <c r="D298" s="13"/>
      <c r="E298" s="13"/>
      <c r="F298" s="15"/>
      <c r="G298" s="13"/>
      <c r="H298" s="13"/>
      <c r="I298" s="13"/>
    </row>
    <row r="299" customFormat="false" ht="15" hidden="false" customHeight="false" outlineLevel="0" collapsed="false">
      <c r="A299" s="13"/>
      <c r="B299" s="14"/>
      <c r="C299" s="13"/>
      <c r="D299" s="13"/>
      <c r="E299" s="13"/>
      <c r="F299" s="15"/>
      <c r="G299" s="13"/>
      <c r="H299" s="13"/>
      <c r="I299" s="13"/>
    </row>
    <row r="300" customFormat="false" ht="15" hidden="false" customHeight="false" outlineLevel="0" collapsed="false">
      <c r="A300" s="13"/>
      <c r="B300" s="14"/>
      <c r="C300" s="13"/>
      <c r="D300" s="13"/>
      <c r="E300" s="13"/>
      <c r="F300" s="15"/>
      <c r="G300" s="13"/>
      <c r="H300" s="13"/>
      <c r="I300" s="13"/>
    </row>
    <row r="301" customFormat="false" ht="15" hidden="false" customHeight="false" outlineLevel="0" collapsed="false">
      <c r="A301" s="13"/>
      <c r="B301" s="14"/>
      <c r="C301" s="13"/>
      <c r="D301" s="13"/>
      <c r="E301" s="13"/>
      <c r="F301" s="15"/>
      <c r="G301" s="13"/>
      <c r="H301" s="13"/>
      <c r="I301" s="13"/>
    </row>
    <row r="302" customFormat="false" ht="15" hidden="false" customHeight="false" outlineLevel="0" collapsed="false">
      <c r="A302" s="13"/>
      <c r="B302" s="14"/>
      <c r="C302" s="13"/>
      <c r="D302" s="13"/>
      <c r="E302" s="13"/>
      <c r="F302" s="15"/>
      <c r="G302" s="13"/>
      <c r="H302" s="13"/>
      <c r="I302" s="13"/>
    </row>
    <row r="303" customFormat="false" ht="15" hidden="false" customHeight="false" outlineLevel="0" collapsed="false">
      <c r="A303" s="13"/>
      <c r="B303" s="14"/>
      <c r="C303" s="13"/>
      <c r="D303" s="13"/>
      <c r="E303" s="13"/>
      <c r="F303" s="15"/>
      <c r="G303" s="13"/>
      <c r="H303" s="13"/>
      <c r="I303" s="13"/>
    </row>
    <row r="304" customFormat="false" ht="15" hidden="false" customHeight="false" outlineLevel="0" collapsed="false">
      <c r="A304" s="13"/>
      <c r="B304" s="14"/>
      <c r="C304" s="13"/>
      <c r="D304" s="13"/>
      <c r="E304" s="13"/>
      <c r="F304" s="15"/>
      <c r="G304" s="13"/>
      <c r="H304" s="13"/>
      <c r="I304" s="13"/>
    </row>
    <row r="305" customFormat="false" ht="15" hidden="false" customHeight="false" outlineLevel="0" collapsed="false">
      <c r="A305" s="13"/>
      <c r="B305" s="14"/>
      <c r="C305" s="13"/>
      <c r="D305" s="13"/>
      <c r="E305" s="13"/>
      <c r="F305" s="15"/>
      <c r="G305" s="13"/>
      <c r="H305" s="13"/>
      <c r="I305" s="13"/>
    </row>
    <row r="306" customFormat="false" ht="15" hidden="false" customHeight="false" outlineLevel="0" collapsed="false">
      <c r="A306" s="13"/>
      <c r="B306" s="14"/>
      <c r="C306" s="13"/>
      <c r="D306" s="13"/>
      <c r="E306" s="13"/>
      <c r="F306" s="15"/>
      <c r="G306" s="13"/>
      <c r="H306" s="13"/>
      <c r="I306" s="13"/>
    </row>
    <row r="307" customFormat="false" ht="15" hidden="false" customHeight="false" outlineLevel="0" collapsed="false">
      <c r="A307" s="13"/>
      <c r="B307" s="14"/>
      <c r="C307" s="13"/>
      <c r="D307" s="13"/>
      <c r="E307" s="13"/>
      <c r="F307" s="15"/>
      <c r="G307" s="13"/>
      <c r="H307" s="13"/>
      <c r="I307" s="13"/>
    </row>
    <row r="308" customFormat="false" ht="15" hidden="false" customHeight="false" outlineLevel="0" collapsed="false">
      <c r="A308" s="13"/>
      <c r="B308" s="14"/>
      <c r="C308" s="13"/>
      <c r="D308" s="13"/>
      <c r="E308" s="13"/>
      <c r="F308" s="15"/>
      <c r="G308" s="13"/>
      <c r="H308" s="13"/>
      <c r="I308" s="13"/>
    </row>
    <row r="309" customFormat="false" ht="15" hidden="false" customHeight="false" outlineLevel="0" collapsed="false">
      <c r="A309" s="13"/>
      <c r="B309" s="14"/>
      <c r="C309" s="13"/>
      <c r="D309" s="13"/>
      <c r="E309" s="13"/>
      <c r="F309" s="15"/>
      <c r="G309" s="13"/>
      <c r="H309" s="13"/>
      <c r="I309" s="13"/>
    </row>
    <row r="310" customFormat="false" ht="15" hidden="false" customHeight="false" outlineLevel="0" collapsed="false">
      <c r="A310" s="13"/>
      <c r="B310" s="14"/>
      <c r="C310" s="13"/>
      <c r="D310" s="13"/>
      <c r="E310" s="13"/>
      <c r="F310" s="15"/>
      <c r="G310" s="13"/>
      <c r="H310" s="13"/>
      <c r="I310" s="13"/>
    </row>
    <row r="311" customFormat="false" ht="15" hidden="false" customHeight="false" outlineLevel="0" collapsed="false">
      <c r="A311" s="13"/>
      <c r="B311" s="14"/>
      <c r="C311" s="13"/>
      <c r="D311" s="13"/>
      <c r="E311" s="13"/>
      <c r="F311" s="15"/>
      <c r="G311" s="13"/>
      <c r="H311" s="13"/>
      <c r="I311" s="13"/>
    </row>
    <row r="312" customFormat="false" ht="15" hidden="false" customHeight="false" outlineLevel="0" collapsed="false">
      <c r="A312" s="13"/>
      <c r="B312" s="14"/>
      <c r="C312" s="13"/>
      <c r="D312" s="13"/>
      <c r="E312" s="13"/>
      <c r="F312" s="15"/>
      <c r="G312" s="13"/>
      <c r="H312" s="13"/>
      <c r="I312" s="13"/>
    </row>
    <row r="313" customFormat="false" ht="15" hidden="false" customHeight="false" outlineLevel="0" collapsed="false">
      <c r="A313" s="13"/>
      <c r="B313" s="14"/>
      <c r="C313" s="13"/>
      <c r="D313" s="13"/>
      <c r="E313" s="13"/>
      <c r="F313" s="15"/>
      <c r="G313" s="13"/>
      <c r="H313" s="13"/>
      <c r="I313" s="13"/>
    </row>
    <row r="314" customFormat="false" ht="15" hidden="false" customHeight="false" outlineLevel="0" collapsed="false">
      <c r="A314" s="13"/>
      <c r="B314" s="14"/>
      <c r="C314" s="13"/>
      <c r="D314" s="13"/>
      <c r="E314" s="13"/>
      <c r="F314" s="15"/>
      <c r="G314" s="13"/>
      <c r="H314" s="13"/>
      <c r="I314" s="13"/>
    </row>
    <row r="315" customFormat="false" ht="15" hidden="false" customHeight="false" outlineLevel="0" collapsed="false">
      <c r="A315" s="13"/>
      <c r="B315" s="14"/>
      <c r="C315" s="13"/>
      <c r="D315" s="13"/>
      <c r="E315" s="13"/>
      <c r="F315" s="15"/>
      <c r="G315" s="13"/>
      <c r="H315" s="13"/>
      <c r="I315" s="13"/>
    </row>
    <row r="316" customFormat="false" ht="15" hidden="false" customHeight="false" outlineLevel="0" collapsed="false">
      <c r="A316" s="13"/>
      <c r="B316" s="14"/>
      <c r="C316" s="13"/>
      <c r="D316" s="13"/>
      <c r="E316" s="13"/>
      <c r="F316" s="15"/>
      <c r="G316" s="13"/>
      <c r="H316" s="13"/>
      <c r="I316" s="13"/>
    </row>
    <row r="317" customFormat="false" ht="15" hidden="false" customHeight="false" outlineLevel="0" collapsed="false">
      <c r="A317" s="13"/>
      <c r="B317" s="14"/>
      <c r="C317" s="13"/>
      <c r="D317" s="13"/>
      <c r="E317" s="13"/>
      <c r="F317" s="15"/>
      <c r="G317" s="13"/>
      <c r="H317" s="13"/>
      <c r="I317" s="13"/>
    </row>
    <row r="318" customFormat="false" ht="15" hidden="false" customHeight="false" outlineLevel="0" collapsed="false">
      <c r="A318" s="13"/>
      <c r="B318" s="14"/>
      <c r="C318" s="13"/>
      <c r="D318" s="13"/>
      <c r="E318" s="13"/>
      <c r="F318" s="15"/>
      <c r="G318" s="13"/>
      <c r="H318" s="13"/>
      <c r="I318" s="13"/>
    </row>
    <row r="319" customFormat="false" ht="15" hidden="false" customHeight="false" outlineLevel="0" collapsed="false">
      <c r="A319" s="13"/>
      <c r="B319" s="14"/>
      <c r="C319" s="13"/>
      <c r="D319" s="13"/>
      <c r="E319" s="13"/>
      <c r="F319" s="15"/>
      <c r="G319" s="13"/>
      <c r="H319" s="13"/>
      <c r="I319" s="13"/>
    </row>
    <row r="320" customFormat="false" ht="15" hidden="false" customHeight="false" outlineLevel="0" collapsed="false">
      <c r="A320" s="13"/>
      <c r="B320" s="14"/>
      <c r="C320" s="13"/>
      <c r="D320" s="13"/>
      <c r="E320" s="13"/>
      <c r="F320" s="15"/>
      <c r="G320" s="13"/>
      <c r="H320" s="13"/>
      <c r="I320" s="13"/>
    </row>
    <row r="321" customFormat="false" ht="15" hidden="false" customHeight="false" outlineLevel="0" collapsed="false">
      <c r="A321" s="13"/>
      <c r="B321" s="14"/>
      <c r="C321" s="13"/>
      <c r="D321" s="13"/>
      <c r="E321" s="13"/>
      <c r="F321" s="15"/>
      <c r="G321" s="13"/>
      <c r="H321" s="13"/>
      <c r="I321" s="13"/>
    </row>
    <row r="322" customFormat="false" ht="15" hidden="false" customHeight="false" outlineLevel="0" collapsed="false">
      <c r="A322" s="13"/>
      <c r="B322" s="14"/>
      <c r="C322" s="13"/>
      <c r="D322" s="13"/>
      <c r="E322" s="13"/>
      <c r="F322" s="15"/>
      <c r="G322" s="13"/>
      <c r="H322" s="13"/>
      <c r="I322" s="13"/>
    </row>
    <row r="323" customFormat="false" ht="15" hidden="false" customHeight="false" outlineLevel="0" collapsed="false">
      <c r="A323" s="13"/>
      <c r="B323" s="14"/>
      <c r="C323" s="13"/>
      <c r="D323" s="13"/>
      <c r="E323" s="13"/>
      <c r="F323" s="15"/>
      <c r="G323" s="13"/>
      <c r="H323" s="13"/>
      <c r="I323" s="13"/>
    </row>
    <row r="324" customFormat="false" ht="15" hidden="false" customHeight="false" outlineLevel="0" collapsed="false">
      <c r="A324" s="13"/>
      <c r="B324" s="14"/>
      <c r="C324" s="13"/>
      <c r="D324" s="13"/>
      <c r="E324" s="13"/>
      <c r="F324" s="15"/>
      <c r="G324" s="13"/>
      <c r="H324" s="13"/>
      <c r="I324" s="13"/>
    </row>
    <row r="325" customFormat="false" ht="15" hidden="false" customHeight="false" outlineLevel="0" collapsed="false">
      <c r="A325" s="13"/>
      <c r="B325" s="14"/>
      <c r="C325" s="13"/>
      <c r="D325" s="13"/>
      <c r="E325" s="13"/>
      <c r="F325" s="15"/>
      <c r="G325" s="13"/>
      <c r="H325" s="13"/>
      <c r="I325" s="13"/>
    </row>
    <row r="326" customFormat="false" ht="15" hidden="false" customHeight="false" outlineLevel="0" collapsed="false">
      <c r="A326" s="13"/>
      <c r="B326" s="14"/>
      <c r="C326" s="13"/>
      <c r="D326" s="13"/>
      <c r="E326" s="13"/>
      <c r="F326" s="15"/>
      <c r="G326" s="13"/>
      <c r="H326" s="13"/>
      <c r="I326" s="13"/>
    </row>
    <row r="327" customFormat="false" ht="15" hidden="false" customHeight="false" outlineLevel="0" collapsed="false">
      <c r="A327" s="13"/>
      <c r="B327" s="14"/>
      <c r="C327" s="13"/>
      <c r="D327" s="13"/>
      <c r="E327" s="13"/>
      <c r="F327" s="15"/>
      <c r="G327" s="13"/>
      <c r="H327" s="13"/>
      <c r="I327" s="13"/>
    </row>
    <row r="328" customFormat="false" ht="15" hidden="false" customHeight="false" outlineLevel="0" collapsed="false">
      <c r="A328" s="13"/>
      <c r="B328" s="14"/>
      <c r="C328" s="13"/>
      <c r="D328" s="13"/>
      <c r="E328" s="13"/>
      <c r="F328" s="15"/>
      <c r="G328" s="13"/>
      <c r="H328" s="13"/>
      <c r="I328" s="13"/>
    </row>
    <row r="329" customFormat="false" ht="15" hidden="false" customHeight="false" outlineLevel="0" collapsed="false">
      <c r="A329" s="13"/>
      <c r="B329" s="14"/>
      <c r="C329" s="13"/>
      <c r="D329" s="13"/>
      <c r="E329" s="13"/>
      <c r="F329" s="15"/>
      <c r="G329" s="13"/>
      <c r="H329" s="13"/>
      <c r="I329" s="13"/>
    </row>
    <row r="330" customFormat="false" ht="15" hidden="false" customHeight="false" outlineLevel="0" collapsed="false">
      <c r="A330" s="13"/>
      <c r="B330" s="14"/>
      <c r="C330" s="13"/>
      <c r="D330" s="13"/>
      <c r="E330" s="13"/>
      <c r="F330" s="15"/>
      <c r="G330" s="13"/>
      <c r="H330" s="13"/>
      <c r="I330" s="13"/>
    </row>
    <row r="331" customFormat="false" ht="15" hidden="false" customHeight="false" outlineLevel="0" collapsed="false">
      <c r="A331" s="13"/>
      <c r="B331" s="14"/>
      <c r="C331" s="13"/>
      <c r="D331" s="13"/>
      <c r="E331" s="13"/>
      <c r="F331" s="15"/>
      <c r="G331" s="13"/>
      <c r="H331" s="13"/>
      <c r="I331" s="13"/>
    </row>
    <row r="332" customFormat="false" ht="15" hidden="false" customHeight="false" outlineLevel="0" collapsed="false">
      <c r="A332" s="13"/>
      <c r="B332" s="14"/>
      <c r="C332" s="13"/>
      <c r="D332" s="13"/>
      <c r="E332" s="13"/>
      <c r="F332" s="15"/>
      <c r="G332" s="13"/>
      <c r="H332" s="13"/>
      <c r="I332" s="13"/>
    </row>
    <row r="333" customFormat="false" ht="15" hidden="false" customHeight="false" outlineLevel="0" collapsed="false">
      <c r="A333" s="13"/>
      <c r="B333" s="14"/>
      <c r="C333" s="13"/>
      <c r="D333" s="13"/>
      <c r="E333" s="13"/>
      <c r="F333" s="15"/>
      <c r="G333" s="13"/>
      <c r="H333" s="13"/>
      <c r="I333" s="13"/>
    </row>
    <row r="334" customFormat="false" ht="15" hidden="false" customHeight="false" outlineLevel="0" collapsed="false">
      <c r="A334" s="13"/>
      <c r="B334" s="14"/>
      <c r="C334" s="13"/>
      <c r="D334" s="13"/>
      <c r="E334" s="13"/>
      <c r="F334" s="15"/>
      <c r="G334" s="13"/>
      <c r="H334" s="13"/>
      <c r="I334" s="13"/>
    </row>
    <row r="335" customFormat="false" ht="15" hidden="false" customHeight="false" outlineLevel="0" collapsed="false">
      <c r="A335" s="13"/>
      <c r="B335" s="14"/>
      <c r="C335" s="13"/>
      <c r="D335" s="13"/>
      <c r="E335" s="13"/>
      <c r="F335" s="15"/>
      <c r="G335" s="13"/>
      <c r="H335" s="13"/>
      <c r="I335" s="13"/>
    </row>
    <row r="336" customFormat="false" ht="15" hidden="false" customHeight="false" outlineLevel="0" collapsed="false">
      <c r="A336" s="13"/>
      <c r="B336" s="14"/>
      <c r="C336" s="13"/>
      <c r="D336" s="13"/>
      <c r="E336" s="13"/>
      <c r="F336" s="15"/>
      <c r="G336" s="13"/>
      <c r="H336" s="13"/>
      <c r="I336" s="13"/>
    </row>
    <row r="337" customFormat="false" ht="15" hidden="false" customHeight="false" outlineLevel="0" collapsed="false">
      <c r="A337" s="13"/>
      <c r="B337" s="14"/>
      <c r="C337" s="13"/>
      <c r="D337" s="13"/>
      <c r="E337" s="13"/>
      <c r="F337" s="15"/>
      <c r="G337" s="13"/>
      <c r="H337" s="13"/>
      <c r="I337" s="13"/>
    </row>
    <row r="338" customFormat="false" ht="15" hidden="false" customHeight="false" outlineLevel="0" collapsed="false">
      <c r="A338" s="13"/>
      <c r="B338" s="14"/>
      <c r="C338" s="13"/>
      <c r="D338" s="13"/>
      <c r="E338" s="13"/>
      <c r="F338" s="15"/>
      <c r="G338" s="13"/>
      <c r="H338" s="13"/>
      <c r="I338" s="13"/>
    </row>
    <row r="339" customFormat="false" ht="15" hidden="false" customHeight="false" outlineLevel="0" collapsed="false">
      <c r="A339" s="13"/>
      <c r="B339" s="14"/>
      <c r="C339" s="13"/>
      <c r="D339" s="13"/>
      <c r="E339" s="13"/>
      <c r="F339" s="15"/>
      <c r="G339" s="13"/>
      <c r="H339" s="13"/>
      <c r="I339" s="13"/>
    </row>
    <row r="340" customFormat="false" ht="15" hidden="false" customHeight="false" outlineLevel="0" collapsed="false">
      <c r="A340" s="13"/>
      <c r="B340" s="14"/>
      <c r="C340" s="13"/>
      <c r="D340" s="13"/>
      <c r="E340" s="13"/>
      <c r="F340" s="15"/>
      <c r="G340" s="13"/>
      <c r="H340" s="13"/>
      <c r="I340" s="13"/>
    </row>
    <row r="341" customFormat="false" ht="15" hidden="false" customHeight="false" outlineLevel="0" collapsed="false">
      <c r="A341" s="13"/>
      <c r="B341" s="14"/>
      <c r="C341" s="13"/>
      <c r="D341" s="13"/>
      <c r="E341" s="13"/>
      <c r="F341" s="15"/>
      <c r="G341" s="13"/>
      <c r="H341" s="13"/>
      <c r="I341" s="13"/>
    </row>
    <row r="342" customFormat="false" ht="15" hidden="false" customHeight="false" outlineLevel="0" collapsed="false">
      <c r="A342" s="13"/>
      <c r="B342" s="14"/>
      <c r="C342" s="13"/>
      <c r="D342" s="13"/>
      <c r="E342" s="13"/>
      <c r="F342" s="15"/>
      <c r="G342" s="13"/>
      <c r="H342" s="13"/>
      <c r="I342" s="13"/>
    </row>
    <row r="343" customFormat="false" ht="15" hidden="false" customHeight="false" outlineLevel="0" collapsed="false">
      <c r="A343" s="13"/>
      <c r="B343" s="14"/>
      <c r="C343" s="13"/>
      <c r="D343" s="13"/>
      <c r="E343" s="13"/>
      <c r="F343" s="15"/>
      <c r="G343" s="13"/>
      <c r="H343" s="13"/>
      <c r="I343" s="13"/>
    </row>
    <row r="344" customFormat="false" ht="15" hidden="false" customHeight="false" outlineLevel="0" collapsed="false">
      <c r="A344" s="13"/>
      <c r="B344" s="14"/>
      <c r="C344" s="13"/>
      <c r="D344" s="13"/>
      <c r="E344" s="13"/>
      <c r="F344" s="15"/>
      <c r="G344" s="13"/>
      <c r="H344" s="13"/>
      <c r="I344" s="13"/>
    </row>
    <row r="345" customFormat="false" ht="15" hidden="false" customHeight="false" outlineLevel="0" collapsed="false">
      <c r="A345" s="13"/>
      <c r="B345" s="14"/>
      <c r="C345" s="13"/>
      <c r="D345" s="13"/>
      <c r="E345" s="13"/>
      <c r="F345" s="15"/>
      <c r="G345" s="13"/>
      <c r="H345" s="13"/>
      <c r="I345" s="13"/>
    </row>
    <row r="346" customFormat="false" ht="15" hidden="false" customHeight="false" outlineLevel="0" collapsed="false">
      <c r="A346" s="13"/>
      <c r="B346" s="14"/>
      <c r="C346" s="13"/>
      <c r="D346" s="13"/>
      <c r="E346" s="13"/>
      <c r="F346" s="15"/>
      <c r="G346" s="13"/>
      <c r="H346" s="13"/>
      <c r="I346" s="13"/>
    </row>
    <row r="347" customFormat="false" ht="15" hidden="false" customHeight="false" outlineLevel="0" collapsed="false">
      <c r="A347" s="13"/>
      <c r="B347" s="14"/>
      <c r="C347" s="13"/>
      <c r="D347" s="13"/>
      <c r="E347" s="13"/>
      <c r="F347" s="15"/>
      <c r="G347" s="13"/>
      <c r="H347" s="13"/>
      <c r="I347" s="13"/>
    </row>
    <row r="348" customFormat="false" ht="15" hidden="false" customHeight="false" outlineLevel="0" collapsed="false">
      <c r="A348" s="13"/>
      <c r="B348" s="14"/>
      <c r="C348" s="13"/>
      <c r="D348" s="13"/>
      <c r="E348" s="13"/>
      <c r="F348" s="15"/>
      <c r="G348" s="13"/>
      <c r="H348" s="13"/>
      <c r="I348" s="13"/>
    </row>
    <row r="349" customFormat="false" ht="15" hidden="false" customHeight="false" outlineLevel="0" collapsed="false">
      <c r="A349" s="13"/>
      <c r="B349" s="14"/>
      <c r="C349" s="13"/>
      <c r="D349" s="13"/>
      <c r="E349" s="13"/>
      <c r="F349" s="15"/>
      <c r="G349" s="13"/>
      <c r="H349" s="13"/>
      <c r="I349" s="13"/>
    </row>
    <row r="350" customFormat="false" ht="15" hidden="false" customHeight="false" outlineLevel="0" collapsed="false">
      <c r="A350" s="13"/>
      <c r="B350" s="14"/>
      <c r="C350" s="13"/>
      <c r="D350" s="13"/>
      <c r="E350" s="13"/>
      <c r="F350" s="15"/>
      <c r="G350" s="13"/>
      <c r="H350" s="13"/>
      <c r="I350" s="13"/>
    </row>
    <row r="351" customFormat="false" ht="15" hidden="false" customHeight="false" outlineLevel="0" collapsed="false">
      <c r="A351" s="13"/>
      <c r="B351" s="14"/>
      <c r="C351" s="13"/>
      <c r="D351" s="13"/>
      <c r="E351" s="13"/>
      <c r="F351" s="15"/>
      <c r="G351" s="13"/>
      <c r="H351" s="13"/>
      <c r="I351" s="13"/>
    </row>
    <row r="352" customFormat="false" ht="15" hidden="false" customHeight="false" outlineLevel="0" collapsed="false">
      <c r="A352" s="13"/>
      <c r="B352" s="14"/>
      <c r="C352" s="13"/>
      <c r="D352" s="13"/>
      <c r="E352" s="13"/>
      <c r="F352" s="15"/>
      <c r="G352" s="13"/>
      <c r="H352" s="13"/>
      <c r="I352" s="13"/>
    </row>
    <row r="353" customFormat="false" ht="15" hidden="false" customHeight="false" outlineLevel="0" collapsed="false">
      <c r="A353" s="13"/>
      <c r="B353" s="14"/>
      <c r="C353" s="13"/>
      <c r="D353" s="13"/>
      <c r="E353" s="13"/>
      <c r="F353" s="15"/>
      <c r="G353" s="13"/>
      <c r="H353" s="13"/>
      <c r="I353" s="13"/>
    </row>
    <row r="354" customFormat="false" ht="15" hidden="false" customHeight="false" outlineLevel="0" collapsed="false">
      <c r="A354" s="13"/>
      <c r="B354" s="14"/>
      <c r="C354" s="13"/>
      <c r="D354" s="13"/>
      <c r="E354" s="13"/>
      <c r="F354" s="15"/>
      <c r="G354" s="13"/>
      <c r="H354" s="13"/>
      <c r="I354" s="13"/>
    </row>
    <row r="355" customFormat="false" ht="15" hidden="false" customHeight="false" outlineLevel="0" collapsed="false">
      <c r="A355" s="13"/>
      <c r="B355" s="14"/>
      <c r="C355" s="13"/>
      <c r="D355" s="13"/>
      <c r="E355" s="13"/>
      <c r="F355" s="15"/>
      <c r="G355" s="13"/>
      <c r="H355" s="13"/>
      <c r="I355" s="13"/>
    </row>
    <row r="356" customFormat="false" ht="15" hidden="false" customHeight="false" outlineLevel="0" collapsed="false">
      <c r="A356" s="13"/>
      <c r="B356" s="14"/>
      <c r="C356" s="13"/>
      <c r="D356" s="13"/>
      <c r="E356" s="13"/>
      <c r="F356" s="15"/>
      <c r="G356" s="13"/>
      <c r="H356" s="13"/>
      <c r="I356" s="13"/>
    </row>
    <row r="357" customFormat="false" ht="15" hidden="false" customHeight="false" outlineLevel="0" collapsed="false">
      <c r="A357" s="13"/>
      <c r="B357" s="14"/>
      <c r="C357" s="13"/>
      <c r="D357" s="13"/>
      <c r="E357" s="13"/>
      <c r="F357" s="15"/>
      <c r="G357" s="13"/>
      <c r="H357" s="13"/>
      <c r="I357" s="13"/>
    </row>
    <row r="358" customFormat="false" ht="15" hidden="false" customHeight="false" outlineLevel="0" collapsed="false">
      <c r="A358" s="13"/>
      <c r="B358" s="14"/>
      <c r="C358" s="13"/>
      <c r="D358" s="13"/>
      <c r="E358" s="13"/>
      <c r="F358" s="15"/>
      <c r="G358" s="13"/>
      <c r="H358" s="13"/>
      <c r="I358" s="13"/>
    </row>
    <row r="359" customFormat="false" ht="15" hidden="false" customHeight="false" outlineLevel="0" collapsed="false">
      <c r="A359" s="13"/>
      <c r="B359" s="14"/>
      <c r="C359" s="13"/>
      <c r="D359" s="13"/>
      <c r="E359" s="13"/>
      <c r="F359" s="15"/>
      <c r="G359" s="13"/>
      <c r="H359" s="13"/>
      <c r="I359" s="13"/>
    </row>
    <row r="360" customFormat="false" ht="15" hidden="false" customHeight="false" outlineLevel="0" collapsed="false">
      <c r="A360" s="13"/>
      <c r="B360" s="14"/>
      <c r="C360" s="13"/>
      <c r="D360" s="13"/>
      <c r="E360" s="13"/>
      <c r="F360" s="15"/>
      <c r="G360" s="13"/>
      <c r="H360" s="13"/>
      <c r="I360" s="13"/>
    </row>
    <row r="361" customFormat="false" ht="15" hidden="false" customHeight="false" outlineLevel="0" collapsed="false">
      <c r="A361" s="13"/>
      <c r="B361" s="14"/>
      <c r="C361" s="13"/>
      <c r="D361" s="13"/>
      <c r="E361" s="13"/>
      <c r="F361" s="15"/>
      <c r="G361" s="13"/>
      <c r="H361" s="13"/>
      <c r="I361" s="13"/>
    </row>
    <row r="362" customFormat="false" ht="15" hidden="false" customHeight="false" outlineLevel="0" collapsed="false">
      <c r="A362" s="13"/>
      <c r="B362" s="14"/>
      <c r="C362" s="13"/>
      <c r="D362" s="13"/>
      <c r="E362" s="13"/>
      <c r="F362" s="15"/>
      <c r="G362" s="13"/>
      <c r="H362" s="13"/>
      <c r="I362" s="13"/>
    </row>
    <row r="363" customFormat="false" ht="15" hidden="false" customHeight="false" outlineLevel="0" collapsed="false">
      <c r="A363" s="13"/>
      <c r="B363" s="14"/>
      <c r="C363" s="13"/>
      <c r="D363" s="13"/>
      <c r="E363" s="13"/>
      <c r="F363" s="15"/>
      <c r="G363" s="13"/>
      <c r="H363" s="13"/>
      <c r="I363" s="13"/>
    </row>
    <row r="364" customFormat="false" ht="15" hidden="false" customHeight="false" outlineLevel="0" collapsed="false">
      <c r="A364" s="13"/>
      <c r="B364" s="14"/>
      <c r="C364" s="13"/>
      <c r="D364" s="13"/>
      <c r="E364" s="13"/>
      <c r="F364" s="15"/>
      <c r="G364" s="13"/>
      <c r="H364" s="13"/>
      <c r="I364" s="13"/>
    </row>
    <row r="365" customFormat="false" ht="15" hidden="false" customHeight="false" outlineLevel="0" collapsed="false">
      <c r="A365" s="13"/>
      <c r="B365" s="14"/>
      <c r="C365" s="13"/>
      <c r="D365" s="13"/>
      <c r="E365" s="13"/>
      <c r="F365" s="15"/>
      <c r="G365" s="13"/>
      <c r="H365" s="13"/>
      <c r="I365" s="13"/>
    </row>
    <row r="366" customFormat="false" ht="15" hidden="false" customHeight="false" outlineLevel="0" collapsed="false">
      <c r="A366" s="13"/>
      <c r="B366" s="14"/>
      <c r="C366" s="13"/>
      <c r="D366" s="13"/>
      <c r="E366" s="13"/>
      <c r="F366" s="15"/>
      <c r="G366" s="13"/>
      <c r="H366" s="13"/>
      <c r="I366" s="13"/>
    </row>
    <row r="367" customFormat="false" ht="15" hidden="false" customHeight="false" outlineLevel="0" collapsed="false">
      <c r="A367" s="13"/>
      <c r="B367" s="14"/>
      <c r="C367" s="13"/>
      <c r="D367" s="13"/>
      <c r="E367" s="13"/>
      <c r="F367" s="15"/>
      <c r="G367" s="13"/>
      <c r="H367" s="13"/>
      <c r="I367" s="13"/>
    </row>
    <row r="368" customFormat="false" ht="15" hidden="false" customHeight="false" outlineLevel="0" collapsed="false">
      <c r="A368" s="13"/>
      <c r="B368" s="14"/>
      <c r="C368" s="13"/>
      <c r="D368" s="13"/>
      <c r="E368" s="13"/>
      <c r="F368" s="15"/>
      <c r="G368" s="13"/>
      <c r="H368" s="13"/>
      <c r="I368" s="13"/>
    </row>
    <row r="369" customFormat="false" ht="15" hidden="false" customHeight="false" outlineLevel="0" collapsed="false">
      <c r="A369" s="13"/>
      <c r="B369" s="14"/>
      <c r="C369" s="13"/>
      <c r="D369" s="13"/>
      <c r="E369" s="13"/>
      <c r="F369" s="15"/>
      <c r="G369" s="13"/>
      <c r="H369" s="13"/>
      <c r="I369" s="13"/>
    </row>
    <row r="370" customFormat="false" ht="15" hidden="false" customHeight="false" outlineLevel="0" collapsed="false">
      <c r="A370" s="13"/>
      <c r="B370" s="14"/>
      <c r="C370" s="13"/>
      <c r="D370" s="13"/>
      <c r="E370" s="13"/>
      <c r="F370" s="15"/>
      <c r="G370" s="13"/>
      <c r="H370" s="13"/>
      <c r="I370" s="13"/>
    </row>
    <row r="371" customFormat="false" ht="15" hidden="false" customHeight="false" outlineLevel="0" collapsed="false">
      <c r="A371" s="13"/>
      <c r="B371" s="14"/>
      <c r="C371" s="13"/>
      <c r="D371" s="13"/>
      <c r="E371" s="13"/>
      <c r="F371" s="15"/>
      <c r="G371" s="13"/>
      <c r="H371" s="13"/>
      <c r="I371" s="13"/>
    </row>
    <row r="372" customFormat="false" ht="15" hidden="false" customHeight="false" outlineLevel="0" collapsed="false">
      <c r="A372" s="13"/>
      <c r="B372" s="14"/>
      <c r="C372" s="13"/>
      <c r="D372" s="13"/>
      <c r="E372" s="13"/>
      <c r="F372" s="15"/>
      <c r="G372" s="13"/>
      <c r="H372" s="13"/>
      <c r="I372" s="13"/>
    </row>
    <row r="373" customFormat="false" ht="15" hidden="false" customHeight="false" outlineLevel="0" collapsed="false">
      <c r="A373" s="13"/>
      <c r="B373" s="14"/>
      <c r="C373" s="13"/>
      <c r="D373" s="13"/>
      <c r="E373" s="13"/>
      <c r="F373" s="15"/>
      <c r="G373" s="13"/>
      <c r="H373" s="13"/>
      <c r="I373" s="13"/>
    </row>
    <row r="374" customFormat="false" ht="15" hidden="false" customHeight="false" outlineLevel="0" collapsed="false">
      <c r="A374" s="13"/>
      <c r="B374" s="14"/>
      <c r="C374" s="13"/>
      <c r="D374" s="13"/>
      <c r="E374" s="13"/>
      <c r="F374" s="15"/>
      <c r="G374" s="13"/>
      <c r="H374" s="13"/>
      <c r="I374" s="13"/>
    </row>
    <row r="375" customFormat="false" ht="15" hidden="false" customHeight="false" outlineLevel="0" collapsed="false">
      <c r="A375" s="13"/>
      <c r="B375" s="14"/>
      <c r="C375" s="13"/>
      <c r="D375" s="13"/>
      <c r="E375" s="13"/>
      <c r="F375" s="15"/>
      <c r="G375" s="13"/>
      <c r="H375" s="13"/>
      <c r="I375" s="13"/>
    </row>
    <row r="376" customFormat="false" ht="15" hidden="false" customHeight="false" outlineLevel="0" collapsed="false">
      <c r="A376" s="13"/>
      <c r="B376" s="14"/>
      <c r="C376" s="13"/>
      <c r="D376" s="13"/>
      <c r="E376" s="13"/>
      <c r="F376" s="15"/>
      <c r="G376" s="13"/>
      <c r="H376" s="13"/>
      <c r="I376" s="13"/>
    </row>
    <row r="377" customFormat="false" ht="15" hidden="false" customHeight="false" outlineLevel="0" collapsed="false">
      <c r="A377" s="13"/>
      <c r="B377" s="14"/>
      <c r="C377" s="13"/>
      <c r="D377" s="13"/>
      <c r="E377" s="13"/>
      <c r="F377" s="15"/>
      <c r="G377" s="13"/>
      <c r="H377" s="13"/>
      <c r="I377" s="13"/>
    </row>
    <row r="378" customFormat="false" ht="15" hidden="false" customHeight="false" outlineLevel="0" collapsed="false">
      <c r="A378" s="13"/>
      <c r="B378" s="14"/>
      <c r="C378" s="13"/>
      <c r="D378" s="13"/>
      <c r="E378" s="13"/>
      <c r="F378" s="15"/>
      <c r="G378" s="13"/>
      <c r="H378" s="13"/>
      <c r="I378" s="13"/>
    </row>
    <row r="379" customFormat="false" ht="15" hidden="false" customHeight="false" outlineLevel="0" collapsed="false">
      <c r="A379" s="13"/>
      <c r="B379" s="14"/>
      <c r="C379" s="13"/>
      <c r="D379" s="13"/>
      <c r="E379" s="13"/>
      <c r="F379" s="15"/>
      <c r="G379" s="13"/>
      <c r="H379" s="13"/>
      <c r="I379" s="13"/>
    </row>
    <row r="380" customFormat="false" ht="15" hidden="false" customHeight="false" outlineLevel="0" collapsed="false">
      <c r="A380" s="13"/>
      <c r="B380" s="14"/>
      <c r="C380" s="13"/>
      <c r="D380" s="13"/>
      <c r="E380" s="13"/>
      <c r="F380" s="15"/>
      <c r="G380" s="13"/>
      <c r="H380" s="13"/>
      <c r="I380" s="13"/>
    </row>
    <row r="381" customFormat="false" ht="15" hidden="false" customHeight="false" outlineLevel="0" collapsed="false">
      <c r="A381" s="13"/>
      <c r="B381" s="14"/>
      <c r="C381" s="13"/>
      <c r="D381" s="13"/>
      <c r="E381" s="13"/>
      <c r="F381" s="15"/>
      <c r="G381" s="13"/>
      <c r="H381" s="13"/>
      <c r="I381" s="13"/>
    </row>
    <row r="382" customFormat="false" ht="15" hidden="false" customHeight="false" outlineLevel="0" collapsed="false">
      <c r="A382" s="13"/>
      <c r="B382" s="14"/>
      <c r="C382" s="13"/>
      <c r="D382" s="13"/>
      <c r="E382" s="13"/>
      <c r="F382" s="15"/>
      <c r="G382" s="13"/>
      <c r="H382" s="13"/>
      <c r="I382" s="13"/>
    </row>
    <row r="383" customFormat="false" ht="15" hidden="false" customHeight="false" outlineLevel="0" collapsed="false">
      <c r="A383" s="13"/>
      <c r="B383" s="14"/>
      <c r="C383" s="13"/>
      <c r="D383" s="13"/>
      <c r="E383" s="13"/>
      <c r="F383" s="15"/>
      <c r="G383" s="13"/>
      <c r="H383" s="13"/>
      <c r="I383" s="13"/>
    </row>
    <row r="384" customFormat="false" ht="15" hidden="false" customHeight="false" outlineLevel="0" collapsed="false">
      <c r="A384" s="13"/>
      <c r="B384" s="14"/>
      <c r="C384" s="13"/>
      <c r="D384" s="13"/>
      <c r="E384" s="13"/>
      <c r="F384" s="15"/>
      <c r="G384" s="13"/>
      <c r="H384" s="13"/>
      <c r="I384" s="13"/>
    </row>
    <row r="385" customFormat="false" ht="15" hidden="false" customHeight="false" outlineLevel="0" collapsed="false">
      <c r="A385" s="13"/>
      <c r="B385" s="14"/>
      <c r="C385" s="13"/>
      <c r="D385" s="13"/>
      <c r="E385" s="13"/>
      <c r="F385" s="15"/>
      <c r="G385" s="13"/>
      <c r="H385" s="13"/>
      <c r="I385" s="13"/>
    </row>
    <row r="386" customFormat="false" ht="15" hidden="false" customHeight="false" outlineLevel="0" collapsed="false">
      <c r="A386" s="13"/>
      <c r="B386" s="14"/>
      <c r="C386" s="13"/>
      <c r="D386" s="13"/>
      <c r="E386" s="13"/>
      <c r="F386" s="15"/>
      <c r="G386" s="13"/>
      <c r="H386" s="13"/>
      <c r="I386" s="13"/>
    </row>
    <row r="387" customFormat="false" ht="15" hidden="false" customHeight="false" outlineLevel="0" collapsed="false">
      <c r="A387" s="13"/>
      <c r="B387" s="14"/>
      <c r="C387" s="13"/>
      <c r="D387" s="13"/>
      <c r="E387" s="13"/>
      <c r="F387" s="15"/>
      <c r="G387" s="13"/>
      <c r="H387" s="13"/>
      <c r="I387" s="13"/>
    </row>
    <row r="388" customFormat="false" ht="15" hidden="false" customHeight="false" outlineLevel="0" collapsed="false">
      <c r="A388" s="13"/>
      <c r="B388" s="14"/>
      <c r="C388" s="13"/>
      <c r="D388" s="13"/>
      <c r="E388" s="13"/>
      <c r="F388" s="15"/>
      <c r="G388" s="13"/>
      <c r="H388" s="13"/>
      <c r="I388" s="13"/>
    </row>
    <row r="389" customFormat="false" ht="15" hidden="false" customHeight="false" outlineLevel="0" collapsed="false">
      <c r="A389" s="13"/>
      <c r="B389" s="14"/>
      <c r="C389" s="13"/>
      <c r="D389" s="13"/>
      <c r="E389" s="13"/>
      <c r="F389" s="15"/>
      <c r="G389" s="13"/>
      <c r="H389" s="13"/>
      <c r="I389" s="13"/>
    </row>
    <row r="390" customFormat="false" ht="15" hidden="false" customHeight="false" outlineLevel="0" collapsed="false">
      <c r="A390" s="13"/>
      <c r="B390" s="14"/>
      <c r="C390" s="13"/>
      <c r="D390" s="13"/>
      <c r="E390" s="13"/>
      <c r="F390" s="15"/>
      <c r="G390" s="13"/>
      <c r="H390" s="13"/>
      <c r="I390" s="13"/>
    </row>
    <row r="391" customFormat="false" ht="15" hidden="false" customHeight="false" outlineLevel="0" collapsed="false">
      <c r="A391" s="13"/>
      <c r="B391" s="14"/>
      <c r="C391" s="13"/>
      <c r="D391" s="13"/>
      <c r="E391" s="13"/>
      <c r="F391" s="15"/>
      <c r="G391" s="13"/>
      <c r="H391" s="13"/>
      <c r="I391" s="13"/>
    </row>
    <row r="392" customFormat="false" ht="15" hidden="false" customHeight="false" outlineLevel="0" collapsed="false">
      <c r="A392" s="13"/>
      <c r="B392" s="14"/>
      <c r="C392" s="13"/>
      <c r="D392" s="13"/>
      <c r="E392" s="13"/>
      <c r="F392" s="15"/>
      <c r="G392" s="13"/>
      <c r="H392" s="13"/>
      <c r="I392" s="13"/>
    </row>
    <row r="393" customFormat="false" ht="15" hidden="false" customHeight="false" outlineLevel="0" collapsed="false">
      <c r="A393" s="13"/>
      <c r="B393" s="14"/>
      <c r="C393" s="13"/>
      <c r="D393" s="13"/>
      <c r="E393" s="13"/>
      <c r="F393" s="15"/>
      <c r="G393" s="13"/>
      <c r="H393" s="13"/>
      <c r="I393" s="13"/>
    </row>
    <row r="394" customFormat="false" ht="15" hidden="false" customHeight="false" outlineLevel="0" collapsed="false">
      <c r="A394" s="13"/>
      <c r="B394" s="14"/>
      <c r="C394" s="13"/>
      <c r="D394" s="13"/>
      <c r="E394" s="13"/>
      <c r="F394" s="15"/>
      <c r="G394" s="13"/>
      <c r="H394" s="13"/>
      <c r="I394" s="13"/>
    </row>
    <row r="395" customFormat="false" ht="15" hidden="false" customHeight="false" outlineLevel="0" collapsed="false">
      <c r="A395" s="13"/>
      <c r="B395" s="14"/>
      <c r="C395" s="13"/>
      <c r="D395" s="13"/>
      <c r="E395" s="13"/>
      <c r="F395" s="15"/>
      <c r="G395" s="13"/>
      <c r="H395" s="13"/>
      <c r="I395" s="13"/>
    </row>
    <row r="396" customFormat="false" ht="15" hidden="false" customHeight="false" outlineLevel="0" collapsed="false">
      <c r="A396" s="13"/>
      <c r="B396" s="14"/>
      <c r="C396" s="13"/>
      <c r="D396" s="13"/>
      <c r="E396" s="13"/>
      <c r="F396" s="15"/>
      <c r="G396" s="13"/>
      <c r="H396" s="13"/>
      <c r="I396" s="13"/>
    </row>
    <row r="397" customFormat="false" ht="15" hidden="false" customHeight="false" outlineLevel="0" collapsed="false">
      <c r="A397" s="13"/>
      <c r="B397" s="14"/>
      <c r="C397" s="13"/>
      <c r="D397" s="13"/>
      <c r="E397" s="13"/>
      <c r="F397" s="15"/>
      <c r="G397" s="13"/>
      <c r="H397" s="13"/>
      <c r="I397" s="13"/>
    </row>
    <row r="398" customFormat="false" ht="15" hidden="false" customHeight="false" outlineLevel="0" collapsed="false">
      <c r="A398" s="13"/>
      <c r="B398" s="14"/>
      <c r="C398" s="13"/>
      <c r="D398" s="13"/>
      <c r="E398" s="13"/>
      <c r="F398" s="15"/>
      <c r="G398" s="13"/>
      <c r="H398" s="13"/>
      <c r="I398" s="13"/>
    </row>
    <row r="399" customFormat="false" ht="15" hidden="false" customHeight="false" outlineLevel="0" collapsed="false">
      <c r="A399" s="13"/>
      <c r="B399" s="14"/>
      <c r="C399" s="13"/>
      <c r="D399" s="13"/>
      <c r="E399" s="13"/>
      <c r="F399" s="15"/>
      <c r="G399" s="13"/>
      <c r="H399" s="13"/>
      <c r="I399" s="13"/>
    </row>
    <row r="400" customFormat="false" ht="15" hidden="false" customHeight="false" outlineLevel="0" collapsed="false">
      <c r="A400" s="13"/>
      <c r="B400" s="14"/>
      <c r="C400" s="13"/>
      <c r="D400" s="13"/>
      <c r="E400" s="13"/>
      <c r="F400" s="15"/>
      <c r="G400" s="13"/>
      <c r="H400" s="13"/>
      <c r="I400" s="13"/>
    </row>
    <row r="401" customFormat="false" ht="15" hidden="false" customHeight="false" outlineLevel="0" collapsed="false">
      <c r="A401" s="13"/>
      <c r="B401" s="14"/>
      <c r="C401" s="13"/>
      <c r="D401" s="13"/>
      <c r="E401" s="13"/>
      <c r="F401" s="15"/>
      <c r="G401" s="13"/>
      <c r="H401" s="13"/>
      <c r="I401" s="13"/>
    </row>
    <row r="402" customFormat="false" ht="15" hidden="false" customHeight="false" outlineLevel="0" collapsed="false">
      <c r="A402" s="13"/>
      <c r="B402" s="14"/>
      <c r="C402" s="13"/>
      <c r="D402" s="13"/>
      <c r="E402" s="13"/>
      <c r="F402" s="15"/>
      <c r="G402" s="13"/>
      <c r="H402" s="13"/>
      <c r="I402" s="13"/>
    </row>
    <row r="403" customFormat="false" ht="15" hidden="false" customHeight="false" outlineLevel="0" collapsed="false">
      <c r="A403" s="13"/>
      <c r="B403" s="14"/>
      <c r="C403" s="13"/>
      <c r="D403" s="13"/>
      <c r="E403" s="13"/>
      <c r="F403" s="15"/>
      <c r="G403" s="13"/>
      <c r="H403" s="13"/>
      <c r="I403" s="13"/>
    </row>
    <row r="404" customFormat="false" ht="15" hidden="false" customHeight="false" outlineLevel="0" collapsed="false">
      <c r="A404" s="13"/>
      <c r="B404" s="14"/>
      <c r="C404" s="13"/>
      <c r="D404" s="13"/>
      <c r="E404" s="13"/>
      <c r="F404" s="15"/>
      <c r="G404" s="13"/>
      <c r="H404" s="13"/>
      <c r="I404" s="13"/>
    </row>
    <row r="405" customFormat="false" ht="15" hidden="false" customHeight="false" outlineLevel="0" collapsed="false">
      <c r="A405" s="13"/>
      <c r="B405" s="14"/>
      <c r="C405" s="13"/>
      <c r="D405" s="13"/>
      <c r="E405" s="13"/>
      <c r="F405" s="15"/>
      <c r="G405" s="13"/>
      <c r="H405" s="13"/>
      <c r="I405" s="13"/>
    </row>
    <row r="406" customFormat="false" ht="15" hidden="false" customHeight="false" outlineLevel="0" collapsed="false">
      <c r="A406" s="13"/>
      <c r="B406" s="14"/>
      <c r="C406" s="13"/>
      <c r="D406" s="13"/>
      <c r="E406" s="13"/>
      <c r="F406" s="15"/>
      <c r="G406" s="13"/>
      <c r="H406" s="13"/>
      <c r="I406" s="13"/>
    </row>
    <row r="407" customFormat="false" ht="15" hidden="false" customHeight="false" outlineLevel="0" collapsed="false">
      <c r="A407" s="13"/>
      <c r="B407" s="14"/>
      <c r="C407" s="13"/>
      <c r="D407" s="13"/>
      <c r="E407" s="13"/>
      <c r="F407" s="15"/>
      <c r="G407" s="13"/>
      <c r="H407" s="13"/>
      <c r="I407" s="13"/>
    </row>
    <row r="408" customFormat="false" ht="15" hidden="false" customHeight="false" outlineLevel="0" collapsed="false">
      <c r="A408" s="13"/>
      <c r="B408" s="14"/>
      <c r="C408" s="13"/>
      <c r="D408" s="13"/>
      <c r="E408" s="13"/>
      <c r="F408" s="15"/>
      <c r="G408" s="13"/>
      <c r="H408" s="13"/>
      <c r="I408" s="13"/>
    </row>
    <row r="409" customFormat="false" ht="15" hidden="false" customHeight="false" outlineLevel="0" collapsed="false">
      <c r="A409" s="13"/>
      <c r="B409" s="14"/>
      <c r="C409" s="13"/>
      <c r="D409" s="13"/>
      <c r="E409" s="13"/>
      <c r="F409" s="15"/>
      <c r="G409" s="13"/>
      <c r="H409" s="13"/>
      <c r="I409" s="13"/>
    </row>
    <row r="410" customFormat="false" ht="15" hidden="false" customHeight="false" outlineLevel="0" collapsed="false">
      <c r="A410" s="13"/>
      <c r="B410" s="14"/>
      <c r="C410" s="13"/>
      <c r="D410" s="13"/>
      <c r="E410" s="13"/>
      <c r="F410" s="15"/>
      <c r="G410" s="13"/>
      <c r="H410" s="13"/>
      <c r="I410" s="13"/>
    </row>
    <row r="411" customFormat="false" ht="15" hidden="false" customHeight="false" outlineLevel="0" collapsed="false">
      <c r="A411" s="13"/>
      <c r="B411" s="14"/>
      <c r="C411" s="13"/>
      <c r="D411" s="13"/>
      <c r="E411" s="13"/>
      <c r="F411" s="15"/>
      <c r="G411" s="13"/>
      <c r="H411" s="13"/>
      <c r="I411" s="13"/>
    </row>
    <row r="412" customFormat="false" ht="15" hidden="false" customHeight="false" outlineLevel="0" collapsed="false">
      <c r="A412" s="13"/>
      <c r="B412" s="14"/>
      <c r="C412" s="13"/>
      <c r="D412" s="13"/>
      <c r="E412" s="13"/>
      <c r="F412" s="15"/>
      <c r="G412" s="13"/>
      <c r="H412" s="13"/>
      <c r="I412" s="13"/>
    </row>
    <row r="413" customFormat="false" ht="15" hidden="false" customHeight="false" outlineLevel="0" collapsed="false">
      <c r="A413" s="13"/>
      <c r="B413" s="14"/>
      <c r="C413" s="13"/>
      <c r="D413" s="13"/>
      <c r="E413" s="13"/>
      <c r="F413" s="15"/>
      <c r="G413" s="13"/>
      <c r="H413" s="13"/>
      <c r="I413" s="13"/>
    </row>
    <row r="414" customFormat="false" ht="15" hidden="false" customHeight="false" outlineLevel="0" collapsed="false">
      <c r="A414" s="13"/>
      <c r="B414" s="14"/>
      <c r="C414" s="13"/>
      <c r="D414" s="13"/>
      <c r="E414" s="13"/>
      <c r="F414" s="15"/>
      <c r="G414" s="13"/>
      <c r="H414" s="13"/>
      <c r="I414" s="13"/>
    </row>
    <row r="415" customFormat="false" ht="15" hidden="false" customHeight="false" outlineLevel="0" collapsed="false">
      <c r="A415" s="13"/>
      <c r="B415" s="14"/>
      <c r="C415" s="13"/>
      <c r="D415" s="13"/>
      <c r="E415" s="13"/>
      <c r="F415" s="15"/>
      <c r="G415" s="13"/>
      <c r="H415" s="13"/>
      <c r="I415" s="13"/>
    </row>
    <row r="416" customFormat="false" ht="15" hidden="false" customHeight="false" outlineLevel="0" collapsed="false">
      <c r="A416" s="13"/>
      <c r="B416" s="14"/>
      <c r="C416" s="13"/>
      <c r="D416" s="13"/>
      <c r="E416" s="13"/>
      <c r="F416" s="15"/>
      <c r="G416" s="13"/>
      <c r="H416" s="13"/>
      <c r="I416" s="13"/>
    </row>
    <row r="417" customFormat="false" ht="15" hidden="false" customHeight="false" outlineLevel="0" collapsed="false">
      <c r="A417" s="13"/>
      <c r="B417" s="14"/>
      <c r="C417" s="13"/>
      <c r="D417" s="13"/>
      <c r="E417" s="13"/>
      <c r="F417" s="15"/>
      <c r="G417" s="13"/>
      <c r="H417" s="13"/>
      <c r="I417" s="13"/>
    </row>
    <row r="418" customFormat="false" ht="15" hidden="false" customHeight="false" outlineLevel="0" collapsed="false">
      <c r="A418" s="13"/>
      <c r="B418" s="14"/>
      <c r="C418" s="13"/>
      <c r="D418" s="13"/>
      <c r="E418" s="13"/>
      <c r="F418" s="15"/>
      <c r="G418" s="13"/>
      <c r="H418" s="13"/>
      <c r="I418" s="13"/>
    </row>
    <row r="419" customFormat="false" ht="15" hidden="false" customHeight="false" outlineLevel="0" collapsed="false">
      <c r="A419" s="13"/>
      <c r="B419" s="14"/>
      <c r="C419" s="13"/>
      <c r="D419" s="13"/>
      <c r="E419" s="13"/>
      <c r="F419" s="15"/>
      <c r="G419" s="13"/>
      <c r="H419" s="13"/>
      <c r="I419" s="13"/>
    </row>
    <row r="420" customFormat="false" ht="15" hidden="false" customHeight="false" outlineLevel="0" collapsed="false">
      <c r="A420" s="13"/>
      <c r="B420" s="14"/>
      <c r="C420" s="13"/>
      <c r="D420" s="13"/>
      <c r="E420" s="13"/>
      <c r="F420" s="15"/>
      <c r="G420" s="13"/>
      <c r="H420" s="13"/>
      <c r="I420" s="13"/>
    </row>
    <row r="421" customFormat="false" ht="15" hidden="false" customHeight="false" outlineLevel="0" collapsed="false">
      <c r="A421" s="13"/>
      <c r="B421" s="14"/>
      <c r="C421" s="13"/>
      <c r="D421" s="13"/>
      <c r="E421" s="13"/>
      <c r="F421" s="15"/>
      <c r="G421" s="13"/>
      <c r="H421" s="13"/>
      <c r="I421" s="13"/>
    </row>
    <row r="422" customFormat="false" ht="15" hidden="false" customHeight="false" outlineLevel="0" collapsed="false">
      <c r="A422" s="13"/>
      <c r="B422" s="14"/>
      <c r="C422" s="13"/>
      <c r="D422" s="13"/>
      <c r="E422" s="13"/>
      <c r="F422" s="15"/>
      <c r="G422" s="13"/>
      <c r="H422" s="13"/>
      <c r="I422" s="13"/>
    </row>
    <row r="423" customFormat="false" ht="15" hidden="false" customHeight="false" outlineLevel="0" collapsed="false">
      <c r="A423" s="13"/>
      <c r="B423" s="14"/>
      <c r="C423" s="13"/>
      <c r="D423" s="13"/>
      <c r="E423" s="13"/>
      <c r="F423" s="15"/>
      <c r="G423" s="13"/>
      <c r="H423" s="13"/>
      <c r="I423" s="13"/>
    </row>
    <row r="424" customFormat="false" ht="15" hidden="false" customHeight="false" outlineLevel="0" collapsed="false">
      <c r="A424" s="13"/>
      <c r="B424" s="14"/>
      <c r="C424" s="13"/>
      <c r="D424" s="13"/>
      <c r="E424" s="13"/>
      <c r="F424" s="15"/>
      <c r="G424" s="13"/>
      <c r="H424" s="13"/>
      <c r="I424" s="13"/>
    </row>
    <row r="425" customFormat="false" ht="15" hidden="false" customHeight="false" outlineLevel="0" collapsed="false">
      <c r="A425" s="13"/>
      <c r="B425" s="14"/>
      <c r="C425" s="13"/>
      <c r="D425" s="13"/>
      <c r="E425" s="13"/>
      <c r="F425" s="15"/>
      <c r="G425" s="13"/>
      <c r="H425" s="13"/>
      <c r="I425" s="13"/>
    </row>
    <row r="426" customFormat="false" ht="15" hidden="false" customHeight="false" outlineLevel="0" collapsed="false">
      <c r="A426" s="13"/>
      <c r="B426" s="14"/>
      <c r="C426" s="13"/>
      <c r="D426" s="13"/>
      <c r="E426" s="13"/>
      <c r="F426" s="15"/>
      <c r="G426" s="13"/>
      <c r="H426" s="13"/>
      <c r="I426" s="13"/>
    </row>
    <row r="427" customFormat="false" ht="15" hidden="false" customHeight="false" outlineLevel="0" collapsed="false">
      <c r="A427" s="13"/>
      <c r="B427" s="14"/>
      <c r="C427" s="13"/>
      <c r="D427" s="13"/>
      <c r="E427" s="13"/>
      <c r="F427" s="15"/>
      <c r="G427" s="13"/>
      <c r="H427" s="13"/>
      <c r="I427" s="13"/>
    </row>
    <row r="428" customFormat="false" ht="15" hidden="false" customHeight="false" outlineLevel="0" collapsed="false">
      <c r="A428" s="13"/>
      <c r="B428" s="14"/>
      <c r="C428" s="13"/>
      <c r="D428" s="13"/>
      <c r="E428" s="13"/>
      <c r="F428" s="15"/>
      <c r="G428" s="13"/>
      <c r="H428" s="13"/>
      <c r="I428" s="13"/>
    </row>
    <row r="429" customFormat="false" ht="15" hidden="false" customHeight="false" outlineLevel="0" collapsed="false">
      <c r="A429" s="13"/>
      <c r="B429" s="14"/>
      <c r="C429" s="13"/>
      <c r="D429" s="13"/>
      <c r="E429" s="13"/>
      <c r="F429" s="15"/>
      <c r="G429" s="13"/>
      <c r="H429" s="13"/>
      <c r="I429" s="13"/>
    </row>
    <row r="430" customFormat="false" ht="15" hidden="false" customHeight="false" outlineLevel="0" collapsed="false">
      <c r="A430" s="13"/>
      <c r="B430" s="14"/>
      <c r="C430" s="13"/>
      <c r="D430" s="13"/>
      <c r="E430" s="13"/>
      <c r="F430" s="15"/>
      <c r="G430" s="13"/>
      <c r="H430" s="13"/>
      <c r="I430" s="13"/>
    </row>
    <row r="431" customFormat="false" ht="15" hidden="false" customHeight="false" outlineLevel="0" collapsed="false">
      <c r="A431" s="13"/>
      <c r="B431" s="14"/>
      <c r="C431" s="13"/>
      <c r="D431" s="13"/>
      <c r="E431" s="13"/>
      <c r="F431" s="15"/>
      <c r="G431" s="13"/>
      <c r="H431" s="13"/>
      <c r="I431" s="13"/>
    </row>
    <row r="432" customFormat="false" ht="15" hidden="false" customHeight="false" outlineLevel="0" collapsed="false">
      <c r="A432" s="13"/>
      <c r="B432" s="14"/>
      <c r="C432" s="13"/>
      <c r="D432" s="13"/>
      <c r="E432" s="13"/>
      <c r="F432" s="15"/>
      <c r="G432" s="13"/>
      <c r="H432" s="13"/>
      <c r="I432" s="13"/>
    </row>
    <row r="433" customFormat="false" ht="15" hidden="false" customHeight="false" outlineLevel="0" collapsed="false">
      <c r="A433" s="13"/>
      <c r="B433" s="14"/>
      <c r="C433" s="13"/>
      <c r="D433" s="13"/>
      <c r="E433" s="13"/>
      <c r="F433" s="15"/>
      <c r="G433" s="13"/>
      <c r="H433" s="13"/>
      <c r="I433" s="13"/>
    </row>
    <row r="434" customFormat="false" ht="15" hidden="false" customHeight="false" outlineLevel="0" collapsed="false">
      <c r="A434" s="13"/>
      <c r="B434" s="14"/>
      <c r="C434" s="13"/>
      <c r="D434" s="13"/>
      <c r="E434" s="13"/>
      <c r="F434" s="15"/>
      <c r="G434" s="13"/>
      <c r="H434" s="13"/>
      <c r="I434" s="13"/>
    </row>
    <row r="435" customFormat="false" ht="15" hidden="false" customHeight="false" outlineLevel="0" collapsed="false">
      <c r="A435" s="13"/>
      <c r="B435" s="14"/>
      <c r="C435" s="13"/>
      <c r="D435" s="13"/>
      <c r="E435" s="13"/>
      <c r="F435" s="15"/>
      <c r="G435" s="13"/>
      <c r="H435" s="13"/>
      <c r="I435" s="13"/>
    </row>
    <row r="436" customFormat="false" ht="15" hidden="false" customHeight="false" outlineLevel="0" collapsed="false">
      <c r="A436" s="13"/>
      <c r="B436" s="14"/>
      <c r="C436" s="13"/>
      <c r="D436" s="13"/>
      <c r="E436" s="13"/>
      <c r="F436" s="15"/>
      <c r="G436" s="13"/>
      <c r="H436" s="13"/>
      <c r="I436" s="13"/>
    </row>
    <row r="437" customFormat="false" ht="15" hidden="false" customHeight="false" outlineLevel="0" collapsed="false">
      <c r="A437" s="13"/>
      <c r="B437" s="14"/>
      <c r="C437" s="13"/>
      <c r="D437" s="13"/>
      <c r="E437" s="13"/>
      <c r="F437" s="15"/>
      <c r="G437" s="13"/>
      <c r="H437" s="13"/>
      <c r="I437" s="13"/>
    </row>
    <row r="438" customFormat="false" ht="15" hidden="false" customHeight="false" outlineLevel="0" collapsed="false">
      <c r="A438" s="13"/>
      <c r="B438" s="14"/>
      <c r="C438" s="13"/>
      <c r="D438" s="13"/>
      <c r="E438" s="13"/>
      <c r="F438" s="15"/>
      <c r="G438" s="13"/>
      <c r="H438" s="13"/>
      <c r="I438" s="13"/>
    </row>
    <row r="439" customFormat="false" ht="15" hidden="false" customHeight="false" outlineLevel="0" collapsed="false">
      <c r="A439" s="13"/>
      <c r="B439" s="14"/>
      <c r="C439" s="13"/>
      <c r="D439" s="13"/>
      <c r="E439" s="13"/>
      <c r="F439" s="15"/>
      <c r="G439" s="13"/>
      <c r="H439" s="13"/>
      <c r="I439" s="13"/>
    </row>
    <row r="440" customFormat="false" ht="15" hidden="false" customHeight="false" outlineLevel="0" collapsed="false">
      <c r="A440" s="13"/>
      <c r="B440" s="14"/>
      <c r="C440" s="13"/>
      <c r="D440" s="13"/>
      <c r="E440" s="13"/>
      <c r="F440" s="15"/>
      <c r="G440" s="13"/>
      <c r="H440" s="13"/>
      <c r="I440" s="13"/>
    </row>
    <row r="441" customFormat="false" ht="15" hidden="false" customHeight="false" outlineLevel="0" collapsed="false">
      <c r="A441" s="13"/>
      <c r="B441" s="14"/>
      <c r="C441" s="13"/>
      <c r="D441" s="13"/>
      <c r="E441" s="13"/>
      <c r="F441" s="15"/>
      <c r="G441" s="13"/>
      <c r="H441" s="13"/>
      <c r="I441" s="13"/>
    </row>
    <row r="442" customFormat="false" ht="15" hidden="false" customHeight="false" outlineLevel="0" collapsed="false">
      <c r="A442" s="13"/>
      <c r="B442" s="14"/>
      <c r="C442" s="13"/>
      <c r="D442" s="13"/>
      <c r="E442" s="13"/>
      <c r="F442" s="15"/>
      <c r="G442" s="13"/>
      <c r="H442" s="13"/>
      <c r="I442" s="13"/>
    </row>
    <row r="443" customFormat="false" ht="15" hidden="false" customHeight="false" outlineLevel="0" collapsed="false">
      <c r="A443" s="13"/>
      <c r="B443" s="14"/>
      <c r="C443" s="13"/>
      <c r="D443" s="13"/>
      <c r="E443" s="13"/>
      <c r="F443" s="15"/>
      <c r="G443" s="13"/>
      <c r="H443" s="13"/>
      <c r="I443" s="13"/>
    </row>
    <row r="444" customFormat="false" ht="15" hidden="false" customHeight="false" outlineLevel="0" collapsed="false">
      <c r="A444" s="13"/>
      <c r="B444" s="14"/>
      <c r="C444" s="13"/>
      <c r="D444" s="13"/>
      <c r="E444" s="13"/>
      <c r="F444" s="15"/>
      <c r="G444" s="13"/>
      <c r="H444" s="13"/>
      <c r="I444" s="13"/>
    </row>
    <row r="445" customFormat="false" ht="15" hidden="false" customHeight="false" outlineLevel="0" collapsed="false">
      <c r="A445" s="13"/>
      <c r="B445" s="14"/>
      <c r="C445" s="13"/>
      <c r="D445" s="13"/>
      <c r="E445" s="13"/>
      <c r="F445" s="15"/>
      <c r="G445" s="13"/>
      <c r="H445" s="13"/>
      <c r="I445" s="13"/>
    </row>
    <row r="446" customFormat="false" ht="15" hidden="false" customHeight="false" outlineLevel="0" collapsed="false">
      <c r="A446" s="13"/>
      <c r="B446" s="14"/>
      <c r="C446" s="13"/>
      <c r="D446" s="13"/>
      <c r="E446" s="13"/>
      <c r="F446" s="15"/>
      <c r="G446" s="13"/>
      <c r="H446" s="13"/>
      <c r="I446" s="13"/>
    </row>
    <row r="447" customFormat="false" ht="15" hidden="false" customHeight="false" outlineLevel="0" collapsed="false">
      <c r="A447" s="13"/>
      <c r="B447" s="14"/>
      <c r="C447" s="13"/>
      <c r="D447" s="13"/>
      <c r="E447" s="13"/>
      <c r="F447" s="15"/>
      <c r="G447" s="13"/>
      <c r="H447" s="13"/>
      <c r="I447" s="13"/>
    </row>
    <row r="448" customFormat="false" ht="15" hidden="false" customHeight="false" outlineLevel="0" collapsed="false">
      <c r="A448" s="13"/>
      <c r="B448" s="14"/>
      <c r="C448" s="13"/>
      <c r="D448" s="13"/>
      <c r="E448" s="13"/>
      <c r="F448" s="15"/>
      <c r="G448" s="13"/>
      <c r="H448" s="13"/>
      <c r="I448" s="13"/>
    </row>
    <row r="449" customFormat="false" ht="15" hidden="false" customHeight="false" outlineLevel="0" collapsed="false">
      <c r="A449" s="13"/>
      <c r="B449" s="14"/>
      <c r="C449" s="13"/>
      <c r="D449" s="13"/>
      <c r="E449" s="13"/>
      <c r="F449" s="15"/>
      <c r="G449" s="13"/>
      <c r="H449" s="13"/>
      <c r="I449" s="13"/>
    </row>
    <row r="450" customFormat="false" ht="15" hidden="false" customHeight="false" outlineLevel="0" collapsed="false">
      <c r="A450" s="13"/>
      <c r="B450" s="14"/>
      <c r="C450" s="13"/>
      <c r="D450" s="13"/>
      <c r="E450" s="13"/>
      <c r="F450" s="15"/>
      <c r="G450" s="13"/>
      <c r="H450" s="13"/>
      <c r="I450" s="13"/>
    </row>
    <row r="451" customFormat="false" ht="15" hidden="false" customHeight="false" outlineLevel="0" collapsed="false">
      <c r="A451" s="13"/>
      <c r="B451" s="14"/>
      <c r="C451" s="13"/>
      <c r="D451" s="13"/>
      <c r="E451" s="13"/>
      <c r="F451" s="15"/>
      <c r="G451" s="13"/>
      <c r="H451" s="13"/>
      <c r="I451" s="13"/>
    </row>
    <row r="452" customFormat="false" ht="15" hidden="false" customHeight="false" outlineLevel="0" collapsed="false">
      <c r="A452" s="13"/>
      <c r="B452" s="14"/>
      <c r="C452" s="13"/>
      <c r="D452" s="13"/>
      <c r="E452" s="13"/>
      <c r="F452" s="15"/>
      <c r="G452" s="13"/>
      <c r="H452" s="13"/>
      <c r="I452" s="13"/>
    </row>
    <row r="453" customFormat="false" ht="15" hidden="false" customHeight="false" outlineLevel="0" collapsed="false">
      <c r="A453" s="13"/>
      <c r="B453" s="14"/>
      <c r="C453" s="13"/>
      <c r="D453" s="13"/>
      <c r="E453" s="13"/>
      <c r="F453" s="15"/>
      <c r="G453" s="13"/>
      <c r="H453" s="13"/>
      <c r="I453" s="13"/>
    </row>
    <row r="454" customFormat="false" ht="15" hidden="false" customHeight="false" outlineLevel="0" collapsed="false">
      <c r="A454" s="13"/>
      <c r="B454" s="14"/>
      <c r="C454" s="13"/>
      <c r="D454" s="13"/>
      <c r="E454" s="13"/>
      <c r="F454" s="15"/>
      <c r="G454" s="13"/>
      <c r="H454" s="13"/>
      <c r="I454" s="13"/>
    </row>
    <row r="455" customFormat="false" ht="15" hidden="false" customHeight="false" outlineLevel="0" collapsed="false">
      <c r="A455" s="13"/>
      <c r="B455" s="14"/>
      <c r="C455" s="13"/>
      <c r="D455" s="13"/>
      <c r="E455" s="13"/>
      <c r="F455" s="15"/>
      <c r="G455" s="13"/>
      <c r="H455" s="13"/>
      <c r="I455" s="13"/>
    </row>
    <row r="456" customFormat="false" ht="15" hidden="false" customHeight="false" outlineLevel="0" collapsed="false">
      <c r="A456" s="13"/>
      <c r="B456" s="14"/>
      <c r="C456" s="13"/>
      <c r="D456" s="13"/>
      <c r="E456" s="13"/>
      <c r="F456" s="15"/>
      <c r="G456" s="13"/>
      <c r="H456" s="13"/>
      <c r="I456" s="13"/>
    </row>
    <row r="457" customFormat="false" ht="15" hidden="false" customHeight="false" outlineLevel="0" collapsed="false">
      <c r="A457" s="13"/>
      <c r="B457" s="14"/>
      <c r="C457" s="13"/>
      <c r="D457" s="13"/>
      <c r="E457" s="13"/>
      <c r="F457" s="15"/>
      <c r="G457" s="13"/>
      <c r="H457" s="13"/>
      <c r="I457" s="13"/>
    </row>
    <row r="458" customFormat="false" ht="15" hidden="false" customHeight="false" outlineLevel="0" collapsed="false">
      <c r="A458" s="13"/>
      <c r="B458" s="14"/>
      <c r="C458" s="13"/>
      <c r="D458" s="13"/>
      <c r="E458" s="13"/>
      <c r="F458" s="15"/>
      <c r="G458" s="13"/>
      <c r="H458" s="13"/>
      <c r="I458" s="13"/>
    </row>
    <row r="459" customFormat="false" ht="15" hidden="false" customHeight="false" outlineLevel="0" collapsed="false">
      <c r="A459" s="13"/>
      <c r="B459" s="14"/>
      <c r="C459" s="13"/>
      <c r="D459" s="13"/>
      <c r="E459" s="13"/>
      <c r="F459" s="15"/>
      <c r="G459" s="13"/>
      <c r="H459" s="13"/>
      <c r="I459" s="13"/>
    </row>
    <row r="460" customFormat="false" ht="15" hidden="false" customHeight="false" outlineLevel="0" collapsed="false">
      <c r="A460" s="13"/>
      <c r="B460" s="14"/>
      <c r="C460" s="13"/>
      <c r="D460" s="13"/>
      <c r="E460" s="13"/>
      <c r="F460" s="15"/>
      <c r="G460" s="13"/>
      <c r="H460" s="13"/>
      <c r="I460" s="13"/>
    </row>
    <row r="461" customFormat="false" ht="15" hidden="false" customHeight="false" outlineLevel="0" collapsed="false">
      <c r="A461" s="13"/>
      <c r="B461" s="14"/>
      <c r="C461" s="13"/>
      <c r="D461" s="13"/>
      <c r="E461" s="13"/>
      <c r="F461" s="15"/>
      <c r="G461" s="13"/>
      <c r="H461" s="13"/>
      <c r="I461" s="13"/>
    </row>
    <row r="462" customFormat="false" ht="15" hidden="false" customHeight="false" outlineLevel="0" collapsed="false">
      <c r="A462" s="13"/>
      <c r="B462" s="14"/>
      <c r="C462" s="13"/>
      <c r="D462" s="13"/>
      <c r="E462" s="13"/>
      <c r="F462" s="15"/>
      <c r="G462" s="13"/>
      <c r="H462" s="13"/>
      <c r="I462" s="13"/>
    </row>
    <row r="463" customFormat="false" ht="15" hidden="false" customHeight="false" outlineLevel="0" collapsed="false">
      <c r="A463" s="13"/>
      <c r="B463" s="14"/>
      <c r="C463" s="13"/>
      <c r="D463" s="13"/>
      <c r="E463" s="13"/>
      <c r="F463" s="15"/>
      <c r="G463" s="13"/>
      <c r="H463" s="13"/>
      <c r="I463" s="13"/>
    </row>
    <row r="464" customFormat="false" ht="15" hidden="false" customHeight="false" outlineLevel="0" collapsed="false">
      <c r="A464" s="13"/>
      <c r="B464" s="14"/>
      <c r="C464" s="13"/>
      <c r="D464" s="13"/>
      <c r="E464" s="13"/>
      <c r="F464" s="15"/>
      <c r="G464" s="13"/>
      <c r="H464" s="13"/>
      <c r="I464" s="13"/>
    </row>
    <row r="465" customFormat="false" ht="15" hidden="false" customHeight="false" outlineLevel="0" collapsed="false">
      <c r="A465" s="13"/>
      <c r="B465" s="14"/>
      <c r="C465" s="13"/>
      <c r="D465" s="13"/>
      <c r="E465" s="13"/>
      <c r="F465" s="15"/>
      <c r="G465" s="13"/>
      <c r="H465" s="13"/>
      <c r="I465" s="13"/>
    </row>
    <row r="466" customFormat="false" ht="15" hidden="false" customHeight="false" outlineLevel="0" collapsed="false">
      <c r="A466" s="13"/>
      <c r="B466" s="14"/>
      <c r="C466" s="13"/>
      <c r="D466" s="13"/>
      <c r="E466" s="13"/>
      <c r="F466" s="15"/>
      <c r="G466" s="13"/>
      <c r="H466" s="13"/>
      <c r="I466" s="13"/>
    </row>
    <row r="467" customFormat="false" ht="15" hidden="false" customHeight="false" outlineLevel="0" collapsed="false">
      <c r="A467" s="13"/>
      <c r="B467" s="14"/>
      <c r="C467" s="13"/>
      <c r="D467" s="13"/>
      <c r="E467" s="13"/>
      <c r="F467" s="15"/>
      <c r="G467" s="13"/>
      <c r="H467" s="13"/>
      <c r="I467" s="13"/>
    </row>
    <row r="468" customFormat="false" ht="15" hidden="false" customHeight="false" outlineLevel="0" collapsed="false">
      <c r="A468" s="13"/>
      <c r="B468" s="14"/>
      <c r="C468" s="13"/>
      <c r="D468" s="13"/>
      <c r="E468" s="13"/>
      <c r="F468" s="15"/>
      <c r="G468" s="13"/>
      <c r="H468" s="13"/>
      <c r="I468" s="13"/>
    </row>
    <row r="469" customFormat="false" ht="15" hidden="false" customHeight="false" outlineLevel="0" collapsed="false">
      <c r="A469" s="13"/>
      <c r="B469" s="14"/>
      <c r="C469" s="13"/>
      <c r="D469" s="13"/>
      <c r="E469" s="13"/>
      <c r="F469" s="15"/>
      <c r="G469" s="13"/>
      <c r="H469" s="13"/>
      <c r="I469" s="13"/>
    </row>
    <row r="470" customFormat="false" ht="15" hidden="false" customHeight="false" outlineLevel="0" collapsed="false">
      <c r="A470" s="13"/>
      <c r="B470" s="14"/>
      <c r="C470" s="13"/>
      <c r="D470" s="13"/>
      <c r="E470" s="13"/>
      <c r="F470" s="15"/>
      <c r="G470" s="13"/>
      <c r="H470" s="13"/>
      <c r="I470" s="13"/>
    </row>
    <row r="471" customFormat="false" ht="15" hidden="false" customHeight="false" outlineLevel="0" collapsed="false">
      <c r="A471" s="13"/>
      <c r="B471" s="14"/>
      <c r="C471" s="13"/>
      <c r="D471" s="13"/>
      <c r="E471" s="13"/>
      <c r="F471" s="15"/>
      <c r="G471" s="13"/>
      <c r="H471" s="13"/>
      <c r="I471" s="13"/>
    </row>
    <row r="472" customFormat="false" ht="15" hidden="false" customHeight="false" outlineLevel="0" collapsed="false">
      <c r="A472" s="13"/>
      <c r="B472" s="14"/>
      <c r="C472" s="13"/>
      <c r="D472" s="13"/>
      <c r="E472" s="13"/>
      <c r="F472" s="15"/>
      <c r="G472" s="13"/>
      <c r="H472" s="13"/>
      <c r="I472" s="13"/>
    </row>
    <row r="473" customFormat="false" ht="15" hidden="false" customHeight="false" outlineLevel="0" collapsed="false">
      <c r="A473" s="13"/>
      <c r="B473" s="14"/>
      <c r="C473" s="13"/>
      <c r="D473" s="13"/>
      <c r="E473" s="13"/>
      <c r="F473" s="15"/>
      <c r="G473" s="13"/>
      <c r="H473" s="13"/>
      <c r="I473" s="13"/>
    </row>
    <row r="474" customFormat="false" ht="15" hidden="false" customHeight="false" outlineLevel="0" collapsed="false">
      <c r="A474" s="13"/>
      <c r="B474" s="14"/>
      <c r="C474" s="13"/>
      <c r="D474" s="13"/>
      <c r="E474" s="13"/>
      <c r="F474" s="15"/>
      <c r="G474" s="13"/>
      <c r="H474" s="13"/>
      <c r="I474" s="13"/>
    </row>
    <row r="475" customFormat="false" ht="15" hidden="false" customHeight="false" outlineLevel="0" collapsed="false">
      <c r="A475" s="13"/>
      <c r="B475" s="14"/>
      <c r="C475" s="13"/>
      <c r="D475" s="13"/>
      <c r="E475" s="13"/>
      <c r="F475" s="15"/>
      <c r="G475" s="13"/>
      <c r="H475" s="13"/>
      <c r="I475" s="13"/>
    </row>
    <row r="476" customFormat="false" ht="15" hidden="false" customHeight="false" outlineLevel="0" collapsed="false">
      <c r="A476" s="13"/>
      <c r="B476" s="14"/>
      <c r="C476" s="13"/>
      <c r="D476" s="13"/>
      <c r="E476" s="13"/>
      <c r="F476" s="15"/>
      <c r="G476" s="13"/>
      <c r="H476" s="13"/>
      <c r="I476" s="13"/>
    </row>
    <row r="477" customFormat="false" ht="15" hidden="false" customHeight="false" outlineLevel="0" collapsed="false">
      <c r="A477" s="13"/>
      <c r="B477" s="14"/>
      <c r="C477" s="13"/>
      <c r="D477" s="13"/>
      <c r="E477" s="13"/>
      <c r="F477" s="15"/>
      <c r="G477" s="13"/>
      <c r="H477" s="13"/>
      <c r="I477" s="13"/>
    </row>
    <row r="478" customFormat="false" ht="15" hidden="false" customHeight="false" outlineLevel="0" collapsed="false">
      <c r="A478" s="13"/>
      <c r="B478" s="14"/>
      <c r="C478" s="13"/>
      <c r="D478" s="13"/>
      <c r="E478" s="13"/>
      <c r="F478" s="15"/>
      <c r="G478" s="13"/>
      <c r="H478" s="13"/>
      <c r="I478" s="13"/>
    </row>
    <row r="479" customFormat="false" ht="15" hidden="false" customHeight="false" outlineLevel="0" collapsed="false">
      <c r="A479" s="13"/>
      <c r="B479" s="14"/>
      <c r="C479" s="13"/>
      <c r="D479" s="13"/>
      <c r="E479" s="13"/>
      <c r="F479" s="15"/>
      <c r="G479" s="13"/>
      <c r="H479" s="13"/>
      <c r="I479" s="13"/>
    </row>
    <row r="480" customFormat="false" ht="15" hidden="false" customHeight="false" outlineLevel="0" collapsed="false">
      <c r="A480" s="13"/>
      <c r="B480" s="14"/>
      <c r="C480" s="13"/>
      <c r="D480" s="13"/>
      <c r="E480" s="13"/>
      <c r="F480" s="15"/>
      <c r="G480" s="13"/>
      <c r="H480" s="13"/>
      <c r="I480" s="13"/>
    </row>
    <row r="481" customFormat="false" ht="15" hidden="false" customHeight="false" outlineLevel="0" collapsed="false">
      <c r="A481" s="13"/>
      <c r="B481" s="14"/>
      <c r="C481" s="13"/>
      <c r="D481" s="13"/>
      <c r="E481" s="13"/>
      <c r="F481" s="15"/>
      <c r="G481" s="13"/>
      <c r="H481" s="13"/>
      <c r="I481" s="13"/>
    </row>
    <row r="482" customFormat="false" ht="15" hidden="false" customHeight="false" outlineLevel="0" collapsed="false">
      <c r="A482" s="13"/>
      <c r="B482" s="14"/>
      <c r="C482" s="13"/>
      <c r="D482" s="13"/>
      <c r="E482" s="13"/>
      <c r="F482" s="15"/>
      <c r="G482" s="13"/>
      <c r="H482" s="13"/>
      <c r="I482" s="13"/>
    </row>
    <row r="483" customFormat="false" ht="15" hidden="false" customHeight="false" outlineLevel="0" collapsed="false">
      <c r="A483" s="13"/>
      <c r="B483" s="14"/>
      <c r="C483" s="13"/>
      <c r="D483" s="13"/>
      <c r="E483" s="13"/>
      <c r="F483" s="15"/>
      <c r="G483" s="13"/>
      <c r="H483" s="13"/>
      <c r="I483" s="13"/>
    </row>
    <row r="484" customFormat="false" ht="15" hidden="false" customHeight="false" outlineLevel="0" collapsed="false">
      <c r="A484" s="13"/>
      <c r="B484" s="14"/>
      <c r="C484" s="13"/>
      <c r="D484" s="13"/>
      <c r="E484" s="13"/>
      <c r="F484" s="15"/>
      <c r="G484" s="13"/>
      <c r="H484" s="13"/>
      <c r="I484" s="13"/>
    </row>
    <row r="485" customFormat="false" ht="15" hidden="false" customHeight="false" outlineLevel="0" collapsed="false">
      <c r="A485" s="13"/>
      <c r="B485" s="14"/>
      <c r="C485" s="13"/>
      <c r="D485" s="13"/>
      <c r="E485" s="13"/>
      <c r="F485" s="15"/>
      <c r="G485" s="13"/>
      <c r="H485" s="13"/>
      <c r="I485" s="13"/>
    </row>
    <row r="486" customFormat="false" ht="15" hidden="false" customHeight="false" outlineLevel="0" collapsed="false">
      <c r="A486" s="13"/>
      <c r="B486" s="14"/>
      <c r="C486" s="13"/>
      <c r="D486" s="13"/>
      <c r="E486" s="13"/>
      <c r="F486" s="15"/>
      <c r="G486" s="13"/>
      <c r="H486" s="13"/>
      <c r="I486" s="13"/>
    </row>
    <row r="487" customFormat="false" ht="15" hidden="false" customHeight="false" outlineLevel="0" collapsed="false">
      <c r="A487" s="13"/>
      <c r="B487" s="14"/>
      <c r="C487" s="13"/>
      <c r="D487" s="13"/>
      <c r="E487" s="13"/>
      <c r="F487" s="15"/>
      <c r="G487" s="13"/>
      <c r="H487" s="13"/>
      <c r="I487" s="13"/>
    </row>
    <row r="488" customFormat="false" ht="15" hidden="false" customHeight="false" outlineLevel="0" collapsed="false">
      <c r="A488" s="13"/>
      <c r="B488" s="14"/>
      <c r="C488" s="13"/>
      <c r="D488" s="13"/>
      <c r="E488" s="13"/>
      <c r="F488" s="15"/>
      <c r="G488" s="13"/>
      <c r="H488" s="13"/>
      <c r="I488" s="13"/>
    </row>
    <row r="489" customFormat="false" ht="15" hidden="false" customHeight="false" outlineLevel="0" collapsed="false">
      <c r="A489" s="13"/>
      <c r="B489" s="14"/>
      <c r="C489" s="13"/>
      <c r="D489" s="13"/>
      <c r="E489" s="13"/>
      <c r="F489" s="15"/>
      <c r="G489" s="13"/>
      <c r="H489" s="13"/>
      <c r="I489" s="13"/>
    </row>
    <row r="490" customFormat="false" ht="15" hidden="false" customHeight="false" outlineLevel="0" collapsed="false">
      <c r="A490" s="13"/>
      <c r="B490" s="14"/>
      <c r="C490" s="13"/>
      <c r="D490" s="13"/>
      <c r="E490" s="13"/>
      <c r="F490" s="15"/>
      <c r="G490" s="13"/>
      <c r="H490" s="13"/>
      <c r="I490" s="13"/>
    </row>
    <row r="491" customFormat="false" ht="15" hidden="false" customHeight="false" outlineLevel="0" collapsed="false">
      <c r="A491" s="13"/>
      <c r="B491" s="14"/>
      <c r="C491" s="13"/>
      <c r="D491" s="13"/>
      <c r="E491" s="13"/>
      <c r="F491" s="15"/>
      <c r="G491" s="13"/>
      <c r="H491" s="13"/>
      <c r="I491" s="13"/>
    </row>
    <row r="492" customFormat="false" ht="15" hidden="false" customHeight="false" outlineLevel="0" collapsed="false">
      <c r="A492" s="13"/>
      <c r="B492" s="14"/>
      <c r="C492" s="13"/>
      <c r="D492" s="13"/>
      <c r="E492" s="13"/>
      <c r="F492" s="15"/>
      <c r="G492" s="13"/>
      <c r="H492" s="13"/>
      <c r="I492" s="13"/>
    </row>
    <row r="493" customFormat="false" ht="15" hidden="false" customHeight="false" outlineLevel="0" collapsed="false">
      <c r="A493" s="13"/>
      <c r="B493" s="14"/>
      <c r="C493" s="13"/>
      <c r="D493" s="13"/>
      <c r="E493" s="13"/>
      <c r="F493" s="15"/>
      <c r="G493" s="13"/>
      <c r="H493" s="13"/>
      <c r="I493" s="13"/>
    </row>
    <row r="494" customFormat="false" ht="15" hidden="false" customHeight="false" outlineLevel="0" collapsed="false">
      <c r="A494" s="13"/>
      <c r="B494" s="14"/>
      <c r="C494" s="13"/>
      <c r="D494" s="13"/>
      <c r="E494" s="13"/>
      <c r="F494" s="15"/>
      <c r="G494" s="13"/>
      <c r="H494" s="13"/>
      <c r="I494" s="13"/>
    </row>
    <row r="495" customFormat="false" ht="15" hidden="false" customHeight="false" outlineLevel="0" collapsed="false">
      <c r="A495" s="13"/>
      <c r="B495" s="14"/>
      <c r="C495" s="13"/>
      <c r="D495" s="13"/>
      <c r="E495" s="13"/>
      <c r="F495" s="15"/>
      <c r="G495" s="13"/>
      <c r="H495" s="13"/>
      <c r="I495" s="13"/>
    </row>
    <row r="496" customFormat="false" ht="15" hidden="false" customHeight="false" outlineLevel="0" collapsed="false">
      <c r="A496" s="13"/>
      <c r="B496" s="14"/>
      <c r="C496" s="13"/>
      <c r="D496" s="13"/>
      <c r="E496" s="13"/>
      <c r="F496" s="15"/>
      <c r="G496" s="13"/>
      <c r="H496" s="13"/>
      <c r="I496" s="13"/>
    </row>
    <row r="497" customFormat="false" ht="15" hidden="false" customHeight="false" outlineLevel="0" collapsed="false">
      <c r="A497" s="13"/>
      <c r="B497" s="14"/>
      <c r="C497" s="13"/>
      <c r="D497" s="13"/>
      <c r="E497" s="13"/>
      <c r="F497" s="15"/>
      <c r="G497" s="13"/>
      <c r="H497" s="13"/>
      <c r="I497" s="13"/>
    </row>
    <row r="498" customFormat="false" ht="15" hidden="false" customHeight="false" outlineLevel="0" collapsed="false">
      <c r="A498" s="13"/>
      <c r="B498" s="14"/>
      <c r="C498" s="13"/>
      <c r="D498" s="13"/>
      <c r="E498" s="13"/>
      <c r="F498" s="15"/>
      <c r="G498" s="13"/>
      <c r="H498" s="13"/>
      <c r="I498" s="13"/>
    </row>
    <row r="499" customFormat="false" ht="15" hidden="false" customHeight="false" outlineLevel="0" collapsed="false">
      <c r="A499" s="13"/>
      <c r="B499" s="14"/>
      <c r="C499" s="13"/>
      <c r="D499" s="13"/>
      <c r="E499" s="13"/>
      <c r="F499" s="15"/>
      <c r="G499" s="13"/>
      <c r="H499" s="13"/>
      <c r="I499" s="13"/>
    </row>
    <row r="500" customFormat="false" ht="15" hidden="false" customHeight="false" outlineLevel="0" collapsed="false">
      <c r="A500" s="13"/>
      <c r="B500" s="14"/>
      <c r="C500" s="13"/>
      <c r="D500" s="13"/>
      <c r="E500" s="13"/>
      <c r="F500" s="15"/>
      <c r="G500" s="13"/>
      <c r="H500" s="13"/>
      <c r="I500" s="13"/>
    </row>
    <row r="501" customFormat="false" ht="15" hidden="false" customHeight="false" outlineLevel="0" collapsed="false">
      <c r="A501" s="13"/>
      <c r="B501" s="14"/>
      <c r="C501" s="13"/>
      <c r="D501" s="13"/>
      <c r="E501" s="13"/>
      <c r="F501" s="15"/>
      <c r="G501" s="13"/>
      <c r="H501" s="13"/>
      <c r="I501" s="13"/>
    </row>
  </sheetData>
  <dataValidations count="2">
    <dataValidation allowBlank="true" errorStyle="stop" operator="between" showDropDown="false" showErrorMessage="false" showInputMessage="false" sqref="C3:C501" type="list">
      <formula1>_listas!$D$1:$D$11</formula1>
      <formula2>0</formula2>
    </dataValidation>
    <dataValidation allowBlank="true" errorStyle="stop" operator="between" showDropDown="false" showErrorMessage="false" showInputMessage="false" sqref="G3:G501" type="list">
      <formula1>_listas!$E$1:$E$2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78"/>
  </cols>
  <sheetData>
    <row r="1" customFormat="false" ht="30" hidden="false" customHeight="true" outlineLevel="0" collapsed="false">
      <c r="A1" s="6" t="s">
        <v>218</v>
      </c>
      <c r="B1" s="6" t="s">
        <v>219</v>
      </c>
      <c r="C1" s="6" t="s">
        <v>220</v>
      </c>
    </row>
    <row r="2" customFormat="false" ht="15" hidden="false" customHeight="false" outlineLevel="0" collapsed="false">
      <c r="A2" s="20" t="s">
        <v>221</v>
      </c>
      <c r="B2" s="13" t="s">
        <v>222</v>
      </c>
      <c r="C2" s="24" t="s">
        <v>223</v>
      </c>
    </row>
    <row r="3" customFormat="false" ht="15" hidden="false" customHeight="false" outlineLevel="0" collapsed="false">
      <c r="A3" s="20" t="s">
        <v>224</v>
      </c>
      <c r="B3" s="17"/>
      <c r="C3" s="24" t="s">
        <v>225</v>
      </c>
    </row>
    <row r="4" customFormat="false" ht="27.75" hidden="false" customHeight="true" outlineLevel="0" collapsed="false">
      <c r="A4" s="20" t="s">
        <v>226</v>
      </c>
      <c r="B4" s="16" t="n">
        <v>0.16</v>
      </c>
      <c r="C4" s="24" t="inlineStr">
        <is>
          <t>Tasa aplicable. Porcentaje: 16%, 16 o 0.16 valen lo mismo; un numero mayor que 1 se lee como por ciento.</t>
        </is>
      </c>
    </row>
    <row r="5" customFormat="false" ht="15" hidden="false" customHeight="false" outlineLevel="0" collapsed="false">
      <c r="A5" s="20" t="s">
        <v>228</v>
      </c>
      <c r="B5" s="13" t="s">
        <v>229</v>
      </c>
      <c r="C5" s="24" t="s">
        <v>230</v>
      </c>
    </row>
    <row r="6" customFormat="false" ht="15" hidden="false" customHeight="false" outlineLevel="0" collapsed="false">
      <c r="A6" s="20" t="s">
        <v>231</v>
      </c>
      <c r="B6" s="13" t="s">
        <v>232</v>
      </c>
      <c r="C6" s="24" t="s">
        <v>233</v>
      </c>
    </row>
    <row r="7" customFormat="false" ht="15" hidden="false" customHeight="false" outlineLevel="0" collapsed="false">
      <c r="A7" s="20" t="s">
        <v>234</v>
      </c>
      <c r="B7" s="17"/>
      <c r="C7" s="24" t="s">
        <v>235</v>
      </c>
    </row>
    <row r="8" customFormat="false" ht="15" hidden="false" customHeight="false" outlineLevel="0" collapsed="false">
      <c r="A8" s="20" t="s">
        <v>236</v>
      </c>
      <c r="B8" s="17"/>
      <c r="C8" s="24" t="s">
        <v>237</v>
      </c>
    </row>
    <row r="9" customFormat="false" ht="27.75" hidden="false" customHeight="true" outlineLevel="0" collapsed="false">
      <c r="A9" s="20" t="s">
        <v>238</v>
      </c>
      <c r="B9" s="16" t="n">
        <v>0.25</v>
      </c>
      <c r="C9" s="24" t="inlineStr">
        <is>
          <t>% de la cartera de 91-180 dias que se estima incobrable. Porcentaje: 25%, 25 o 0.25; un numero mayor que 1 se lee como por ciento.</t>
        </is>
      </c>
    </row>
    <row r="10" customFormat="false" ht="27.75" hidden="false" customHeight="true" outlineLevel="0" collapsed="false">
      <c r="A10" s="20" t="s">
        <v>240</v>
      </c>
      <c r="B10" s="16" t="n">
        <v>0.5</v>
      </c>
      <c r="C10" s="24" t="inlineStr">
        <is>
          <t>% de la cartera de mas de 180 dias que se estima incobrable. Porcentaje: 50%, 50 o 0.50; un numero mayor que 1 se lee como por ciento.</t>
        </is>
      </c>
    </row>
    <row r="11" customFormat="false" ht="15" hidden="false" customHeight="false" outlineLevel="0" collapsed="false">
      <c r="A11" s="20" t="s">
        <v>242</v>
      </c>
      <c r="B11" s="17"/>
      <c r="C11" s="24" t="s">
        <v>243</v>
      </c>
    </row>
    <row r="12" customFormat="false" ht="15" hidden="false" customHeight="false" outlineLevel="0" collapsed="false">
      <c r="A12" s="20" t="inlineStr">
        <is>
          <t>nombre_cliente</t>
        </is>
      </c>
      <c r="B12" s="17"/>
      <c r="C12" s="24" t="inlineStr">
        <is>
          <t>PENDIENTE — Nombre del cliente o empresa, tal como debe aparecer en la portada del reporte.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2026-09-10T03:10:23Z</dcterms:created>
  <dc:creator>openpyxl</dc:creator>
  <dc:description/>
  <dc:language>en-US</dc:language>
  <cp:lastModifiedBy/>
  <dcterms:modified xsi:type="dcterms:W3CDTF">2026-09-10T03:10:23Z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