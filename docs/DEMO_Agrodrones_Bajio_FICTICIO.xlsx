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ventas" sheetId="2" state="visible" r:id="rId4"/>
    <sheet name="cobranza" sheetId="3" state="visible" r:id="rId5"/>
    <sheet name="gastos" sheetId="4" state="visible" r:id="rId6"/>
    <sheet name="parametr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<sst xmlns="http://schemas.openxmlformats.org/spreadsheetml/2006/main" count="877" uniqueCount="344">
  <si>
    <t xml:space="preserve">ARCHIVO DE DEMOSTRACION — DATOS COMPLETAMENTE FICTICIOS</t>
  </si>
  <si>
    <t xml:space="preserve">Empresa: Agrodrones del Bajio S.A. de C.V. (EMPRESA FICTICIA)</t>
  </si>
  <si>
    <t xml:space="preserve">Clientes, modelos, numeros de serie, importes, fechas y gastos son inventados.</t>
  </si>
  <si>
    <t xml:space="preserve">Este archivo NO contiene informacion de ningun cliente real.</t>
  </si>
  <si>
    <t xml:space="preserve">Proposito: demostrar la aplicacion y ejercitar todos sus modulos y casos limite.</t>
  </si>
  <si>
    <t xml:space="preserve">Casos deliberadamente incluidos:</t>
  </si>
  <si>
    <t xml:space="preserve">  - Las seis lineas de producto, incluida una unidad Demo sin precio de venta.</t>
  </si>
  <si>
    <t xml:space="preserve">  - Los cinco tramos de antiguedad de cartera con saldo, el de 91-180 incluido.</t>
  </si>
  <si>
    <t xml:space="preserve">  - Base de medicion mixta: algunas ventas con dias de credito y otras sin el.</t>
  </si>
  <si>
    <t xml:space="preserve">  - Abonos multiples por venta, con fecha y metodo de pago.</t>
  </si>
  <si>
    <t xml:space="preserve">  - Un sobrecobro (V-018), una venta sin fecha (V-025).</t>
  </si>
  <si>
    <t xml:space="preserve">  - Gastos fijos y variables a lo largo de nueve meses.</t>
  </si>
  <si>
    <t xml:space="preserve">folio</t>
  </si>
  <si>
    <t xml:space="preserve">fecha</t>
  </si>
  <si>
    <t xml:space="preserve">linea</t>
  </si>
  <si>
    <t xml:space="preserve">cliente</t>
  </si>
  <si>
    <t xml:space="preserve">modelo</t>
  </si>
  <si>
    <t xml:space="preserve">serie</t>
  </si>
  <si>
    <t xml:space="preserve">costo_unitario</t>
  </si>
  <si>
    <t xml:space="preserve">precio_venta</t>
  </si>
  <si>
    <t xml:space="preserve">comision_pct</t>
  </si>
  <si>
    <t xml:space="preserve">comision_base</t>
  </si>
  <si>
    <t xml:space="preserve">dias_credito</t>
  </si>
  <si>
    <t xml:space="preserve">condicion</t>
  </si>
  <si>
    <t xml:space="preserve">vendedor</t>
  </si>
  <si>
    <t xml:space="preserve">utilidad_bruta</t>
  </si>
  <si>
    <t xml:space="preserve">margen_pct</t>
  </si>
  <si>
    <t xml:space="preserve">cobrado</t>
  </si>
  <si>
    <t xml:space="preserve">saldo</t>
  </si>
  <si>
    <t xml:space="preserve">notas</t>
  </si>
  <si>
    <t xml:space="preserve">V-000</t>
  </si>
  <si>
    <t xml:space="preserve">15/03/2026</t>
  </si>
  <si>
    <t xml:space="preserve">Equipo</t>
  </si>
  <si>
    <t xml:space="preserve">EJEMPLO — Cliente Demostrativo</t>
  </si>
  <si>
    <t xml:space="preserve">AX-55</t>
  </si>
  <si>
    <t xml:space="preserve">FIC-EJEMPLO</t>
  </si>
  <si>
    <t xml:space="preserve">Venta</t>
  </si>
  <si>
    <t xml:space="preserve">Credito</t>
  </si>
  <si>
    <t xml:space="preserve">Nombre vendedor</t>
  </si>
  <si>
    <t xml:space="preserve">V-001</t>
  </si>
  <si>
    <t xml:space="preserve">Agricola San Lorenzo</t>
  </si>
  <si>
    <t xml:space="preserve">AX-100</t>
  </si>
  <si>
    <t xml:space="preserve">FIC-A100-0001</t>
  </si>
  <si>
    <t xml:space="preserve">Mariana Olvera</t>
  </si>
  <si>
    <t xml:space="preserve">V-002</t>
  </si>
  <si>
    <t xml:space="preserve">Rancho El Mezquital</t>
  </si>
  <si>
    <t xml:space="preserve">FIC-A055-0002</t>
  </si>
  <si>
    <t xml:space="preserve">No aplica</t>
  </si>
  <si>
    <t xml:space="preserve">Tomas Iriarte</t>
  </si>
  <si>
    <t xml:space="preserve">V-003</t>
  </si>
  <si>
    <t xml:space="preserve">Productores Unidos del Valle</t>
  </si>
  <si>
    <t xml:space="preserve">AX-70</t>
  </si>
  <si>
    <t xml:space="preserve">FIC-A070-0003</t>
  </si>
  <si>
    <t xml:space="preserve">V-004</t>
  </si>
  <si>
    <t xml:space="preserve">Accesorios</t>
  </si>
  <si>
    <t xml:space="preserve">Vivero Santa Cruz</t>
  </si>
  <si>
    <t xml:space="preserve">Antena RTK</t>
  </si>
  <si>
    <t xml:space="preserve">FIC-ANT-0004</t>
  </si>
  <si>
    <t xml:space="preserve">Contado</t>
  </si>
  <si>
    <t xml:space="preserve">V-005</t>
  </si>
  <si>
    <t xml:space="preserve">Hortalizas La Esperanza</t>
  </si>
  <si>
    <t xml:space="preserve">AX-25</t>
  </si>
  <si>
    <t xml:space="preserve">FIC-A025-0005</t>
  </si>
  <si>
    <t xml:space="preserve">V-006</t>
  </si>
  <si>
    <t xml:space="preserve">Demo</t>
  </si>
  <si>
    <t xml:space="preserve">Unidad demostrativa interna</t>
  </si>
  <si>
    <t xml:space="preserve">FIC-A070-0006</t>
  </si>
  <si>
    <t xml:space="preserve">Unidad demostrativa, excluida del analisis de venta</t>
  </si>
  <si>
    <t xml:space="preserve">V-007</t>
  </si>
  <si>
    <t xml:space="preserve">Campos de Altamira</t>
  </si>
  <si>
    <t xml:space="preserve">FIC-A100-0007</t>
  </si>
  <si>
    <t xml:space="preserve">V-008</t>
  </si>
  <si>
    <t xml:space="preserve">Ing. Ramon Tellez</t>
  </si>
  <si>
    <t xml:space="preserve">FIC-A055-0008</t>
  </si>
  <si>
    <t xml:space="preserve">V-009</t>
  </si>
  <si>
    <t xml:space="preserve">Centrifuga dual</t>
  </si>
  <si>
    <t xml:space="preserve">FIC-CEN-0009</t>
  </si>
  <si>
    <t xml:space="preserve">V-010</t>
  </si>
  <si>
    <t xml:space="preserve">Servicio</t>
  </si>
  <si>
    <t xml:space="preserve">Agroservicios Tepeyac</t>
  </si>
  <si>
    <t xml:space="preserve">Aplicacion 50 ha</t>
  </si>
  <si>
    <t xml:space="preserve">V-011</t>
  </si>
  <si>
    <t xml:space="preserve">Semillas del Norte</t>
  </si>
  <si>
    <t xml:space="preserve">FIC-A070-0011</t>
  </si>
  <si>
    <t xml:space="preserve">V-012</t>
  </si>
  <si>
    <t xml:space="preserve">Capacitacion</t>
  </si>
  <si>
    <t xml:space="preserve">Curso piloto certificado</t>
  </si>
  <si>
    <t xml:space="preserve">V-013</t>
  </si>
  <si>
    <t xml:space="preserve">Finca Los Alamos</t>
  </si>
  <si>
    <t xml:space="preserve">FIC-A025-0013</t>
  </si>
  <si>
    <t xml:space="preserve">V-014</t>
  </si>
  <si>
    <t xml:space="preserve">Refacciones</t>
  </si>
  <si>
    <t xml:space="preserve">Bomba de aspersion</t>
  </si>
  <si>
    <t xml:space="preserve">FIC-BOM-0014</t>
  </si>
  <si>
    <t xml:space="preserve">V-015</t>
  </si>
  <si>
    <t xml:space="preserve">Cooperativa Rio Verde</t>
  </si>
  <si>
    <t xml:space="preserve">FIC-A100-0015</t>
  </si>
  <si>
    <t xml:space="preserve">V-016</t>
  </si>
  <si>
    <t xml:space="preserve">Bateria BX-30</t>
  </si>
  <si>
    <t xml:space="preserve">FIC-BAT-0016</t>
  </si>
  <si>
    <t xml:space="preserve">V-017</t>
  </si>
  <si>
    <t xml:space="preserve">FIC-A055-0017</t>
  </si>
  <si>
    <t xml:space="preserve">V-018</t>
  </si>
  <si>
    <t xml:space="preserve">Cargador rapido 80W</t>
  </si>
  <si>
    <t xml:space="preserve">FIC-CAR-0018</t>
  </si>
  <si>
    <t xml:space="preserve">V-019</t>
  </si>
  <si>
    <t xml:space="preserve">FIC-A070-0019</t>
  </si>
  <si>
    <t xml:space="preserve">V-020</t>
  </si>
  <si>
    <t xml:space="preserve">V-021</t>
  </si>
  <si>
    <t xml:space="preserve">FIC-A025-0021</t>
  </si>
  <si>
    <t xml:space="preserve">V-022</t>
  </si>
  <si>
    <t xml:space="preserve">Kit de helices</t>
  </si>
  <si>
    <t xml:space="preserve">FIC-KIT-0022</t>
  </si>
  <si>
    <t xml:space="preserve">V-023</t>
  </si>
  <si>
    <t xml:space="preserve">FIC-A055-0023</t>
  </si>
  <si>
    <t xml:space="preserve">V-024</t>
  </si>
  <si>
    <t xml:space="preserve">FIC-BAT-0024</t>
  </si>
  <si>
    <t xml:space="preserve">V-025</t>
  </si>
  <si>
    <t xml:space="preserve">FIC-KIT-0025</t>
  </si>
  <si>
    <t xml:space="preserve">folio_pago</t>
  </si>
  <si>
    <t xml:space="preserve">folio_venta</t>
  </si>
  <si>
    <t xml:space="preserve">fecha_pago</t>
  </si>
  <si>
    <t xml:space="preserve">monto</t>
  </si>
  <si>
    <t xml:space="preserve">metodo</t>
  </si>
  <si>
    <t xml:space="preserve">cliente_ref</t>
  </si>
  <si>
    <t xml:space="preserve">P-000</t>
  </si>
  <si>
    <t xml:space="preserve">20/04/2026</t>
  </si>
  <si>
    <t xml:space="preserve">Transferencia</t>
  </si>
  <si>
    <t xml:space="preserve">P-001</t>
  </si>
  <si>
    <t xml:space="preserve">P-002</t>
  </si>
  <si>
    <t xml:space="preserve">P-003</t>
  </si>
  <si>
    <t xml:space="preserve">Deposito</t>
  </si>
  <si>
    <t xml:space="preserve">P-004</t>
  </si>
  <si>
    <t xml:space="preserve">P-005</t>
  </si>
  <si>
    <t xml:space="preserve">Cheque</t>
  </si>
  <si>
    <t xml:space="preserve">P-006</t>
  </si>
  <si>
    <t xml:space="preserve">P-007</t>
  </si>
  <si>
    <t xml:space="preserve">P-008</t>
  </si>
  <si>
    <t xml:space="preserve">P-009</t>
  </si>
  <si>
    <t xml:space="preserve">P-010</t>
  </si>
  <si>
    <t xml:space="preserve">P-011</t>
  </si>
  <si>
    <t xml:space="preserve">P-012</t>
  </si>
  <si>
    <t xml:space="preserve">Efectivo</t>
  </si>
  <si>
    <t xml:space="preserve">P-013</t>
  </si>
  <si>
    <t xml:space="preserve">P-014</t>
  </si>
  <si>
    <t xml:space="preserve">P-015</t>
  </si>
  <si>
    <t xml:space="preserve">P-016</t>
  </si>
  <si>
    <t xml:space="preserve">P-017</t>
  </si>
  <si>
    <t xml:space="preserve">P-018</t>
  </si>
  <si>
    <t xml:space="preserve">P-019</t>
  </si>
  <si>
    <t xml:space="preserve">P-020</t>
  </si>
  <si>
    <t xml:space="preserve">P-021</t>
  </si>
  <si>
    <t xml:space="preserve">P-022</t>
  </si>
  <si>
    <t xml:space="preserve">P-023</t>
  </si>
  <si>
    <t xml:space="preserve">Sobrecobro deliberado para prueba</t>
  </si>
  <si>
    <t xml:space="preserve">P-024</t>
  </si>
  <si>
    <t xml:space="preserve">P-025</t>
  </si>
  <si>
    <t xml:space="preserve">P-026</t>
  </si>
  <si>
    <t xml:space="preserve">P-027</t>
  </si>
  <si>
    <t xml:space="preserve">P-028</t>
  </si>
  <si>
    <t xml:space="preserve">P-029</t>
  </si>
  <si>
    <t xml:space="preserve">P-030</t>
  </si>
  <si>
    <t xml:space="preserve">folio_gasto</t>
  </si>
  <si>
    <t xml:space="preserve">categoria</t>
  </si>
  <si>
    <t xml:space="preserve">subcategoria</t>
  </si>
  <si>
    <t xml:space="preserve">descripcion</t>
  </si>
  <si>
    <t xml:space="preserve">tipo</t>
  </si>
  <si>
    <t xml:space="preserve">proveedor</t>
  </si>
  <si>
    <t xml:space="preserve">G-000</t>
  </si>
  <si>
    <t xml:space="preserve">10/03/2026</t>
  </si>
  <si>
    <t xml:space="preserve">Nomina</t>
  </si>
  <si>
    <t xml:space="preserve">Sueldos</t>
  </si>
  <si>
    <t xml:space="preserve">Nomina mensual del personal</t>
  </si>
  <si>
    <t xml:space="preserve">Fijo</t>
  </si>
  <si>
    <t xml:space="preserve">N/A</t>
  </si>
  <si>
    <t xml:space="preserve">G-001</t>
  </si>
  <si>
    <t xml:space="preserve">Renta</t>
  </si>
  <si>
    <t xml:space="preserve">Bodega</t>
  </si>
  <si>
    <t xml:space="preserve">Renta de bodega y oficina</t>
  </si>
  <si>
    <t xml:space="preserve">Inmuebles Bajio</t>
  </si>
  <si>
    <t xml:space="preserve">G-002</t>
  </si>
  <si>
    <t xml:space="preserve">Servicios</t>
  </si>
  <si>
    <t xml:space="preserve">Electricidad</t>
  </si>
  <si>
    <t xml:space="preserve">Suministro electrico bodega</t>
  </si>
  <si>
    <t xml:space="preserve">CFE</t>
  </si>
  <si>
    <t xml:space="preserve">G-003</t>
  </si>
  <si>
    <t xml:space="preserve">Conectividad</t>
  </si>
  <si>
    <t xml:space="preserve">Internet y telefonia movil</t>
  </si>
  <si>
    <t xml:space="preserve">Telecom Bajio</t>
  </si>
  <si>
    <t xml:space="preserve">G-004</t>
  </si>
  <si>
    <t xml:space="preserve">IMSS</t>
  </si>
  <si>
    <t xml:space="preserve">Cuotas patronales IMSS e Infonavit</t>
  </si>
  <si>
    <t xml:space="preserve">G-005</t>
  </si>
  <si>
    <t xml:space="preserve">Operativos</t>
  </si>
  <si>
    <t xml:space="preserve">Seguros</t>
  </si>
  <si>
    <t xml:space="preserve">Seguro de responsabilidad civil y equipo</t>
  </si>
  <si>
    <t xml:space="preserve">Aseguradora Ficticia</t>
  </si>
  <si>
    <t xml:space="preserve">G-006</t>
  </si>
  <si>
    <t xml:space="preserve">Viaticos</t>
  </si>
  <si>
    <t xml:space="preserve">Combustible</t>
  </si>
  <si>
    <t xml:space="preserve">Combustible visitas a campo</t>
  </si>
  <si>
    <t xml:space="preserve">Variable</t>
  </si>
  <si>
    <t xml:space="preserve">G-007</t>
  </si>
  <si>
    <t xml:space="preserve">Nomina personal operativo y administrativo</t>
  </si>
  <si>
    <t xml:space="preserve">G-008</t>
  </si>
  <si>
    <t xml:space="preserve">Financieros</t>
  </si>
  <si>
    <t xml:space="preserve">Comisiones</t>
  </si>
  <si>
    <t xml:space="preserve">Comisiones y manejo de cuenta bancaria</t>
  </si>
  <si>
    <t xml:space="preserve">Banco Ficticio</t>
  </si>
  <si>
    <t xml:space="preserve">G-009</t>
  </si>
  <si>
    <t xml:space="preserve">Comercial</t>
  </si>
  <si>
    <t xml:space="preserve">Publicidad</t>
  </si>
  <si>
    <t xml:space="preserve">Campana digital temporada primavera</t>
  </si>
  <si>
    <t xml:space="preserve">Agencia Ficticia</t>
  </si>
  <si>
    <t xml:space="preserve">G-010</t>
  </si>
  <si>
    <t xml:space="preserve">G-011</t>
  </si>
  <si>
    <t xml:space="preserve">Importacion</t>
  </si>
  <si>
    <t xml:space="preserve">Flete</t>
  </si>
  <si>
    <t xml:space="preserve">Flete internacional lote AX-100</t>
  </si>
  <si>
    <t xml:space="preserve">Logistica Ficticia</t>
  </si>
  <si>
    <t xml:space="preserve">G-012</t>
  </si>
  <si>
    <t xml:space="preserve">Agente aduanal</t>
  </si>
  <si>
    <t xml:space="preserve">Honorarios agente aduanal lote AX-100</t>
  </si>
  <si>
    <t xml:space="preserve">Aduanas Ficticias</t>
  </si>
  <si>
    <t xml:space="preserve">G-013</t>
  </si>
  <si>
    <t xml:space="preserve">G-014</t>
  </si>
  <si>
    <t xml:space="preserve">G-015</t>
  </si>
  <si>
    <t xml:space="preserve">G-016</t>
  </si>
  <si>
    <t xml:space="preserve">G-017</t>
  </si>
  <si>
    <t xml:space="preserve">Demostraciones</t>
  </si>
  <si>
    <t xml:space="preserve">Demostracion en campo zona norte</t>
  </si>
  <si>
    <t xml:space="preserve">G-018</t>
  </si>
  <si>
    <t xml:space="preserve">G-019</t>
  </si>
  <si>
    <t xml:space="preserve">G-020</t>
  </si>
  <si>
    <t xml:space="preserve">G-021</t>
  </si>
  <si>
    <t xml:space="preserve">G-022</t>
  </si>
  <si>
    <t xml:space="preserve">G-023</t>
  </si>
  <si>
    <t xml:space="preserve">G-024</t>
  </si>
  <si>
    <t xml:space="preserve">G-025</t>
  </si>
  <si>
    <t xml:space="preserve">G-026</t>
  </si>
  <si>
    <t xml:space="preserve">Mantenimiento</t>
  </si>
  <si>
    <t xml:space="preserve">Mantenimiento de unidades y taller</t>
  </si>
  <si>
    <t xml:space="preserve">Taller Ficticio</t>
  </si>
  <si>
    <t xml:space="preserve">G-027</t>
  </si>
  <si>
    <t xml:space="preserve">G-028</t>
  </si>
  <si>
    <t xml:space="preserve">G-029</t>
  </si>
  <si>
    <t xml:space="preserve">G-030</t>
  </si>
  <si>
    <t xml:space="preserve">Eventos</t>
  </si>
  <si>
    <t xml:space="preserve">Expo agricola regional</t>
  </si>
  <si>
    <t xml:space="preserve">G-031</t>
  </si>
  <si>
    <t xml:space="preserve">Hospedaje</t>
  </si>
  <si>
    <t xml:space="preserve">Hospedaje y alimentos expo</t>
  </si>
  <si>
    <t xml:space="preserve">G-032</t>
  </si>
  <si>
    <t xml:space="preserve">G-033</t>
  </si>
  <si>
    <t xml:space="preserve">G-034</t>
  </si>
  <si>
    <t xml:space="preserve">G-035</t>
  </si>
  <si>
    <t xml:space="preserve">G-036</t>
  </si>
  <si>
    <t xml:space="preserve">G-037</t>
  </si>
  <si>
    <t xml:space="preserve">G-038</t>
  </si>
  <si>
    <t xml:space="preserve">G-039</t>
  </si>
  <si>
    <t xml:space="preserve">Flete internacional lote AX-55 y AX-70</t>
  </si>
  <si>
    <t xml:space="preserve">G-040</t>
  </si>
  <si>
    <t xml:space="preserve">Honorarios agente aduanal segundo lote</t>
  </si>
  <si>
    <t xml:space="preserve">G-041</t>
  </si>
  <si>
    <t xml:space="preserve">G-042</t>
  </si>
  <si>
    <t xml:space="preserve">G-043</t>
  </si>
  <si>
    <t xml:space="preserve">G-044</t>
  </si>
  <si>
    <t xml:space="preserve">G-045</t>
  </si>
  <si>
    <t xml:space="preserve">Combustible entregas mayo</t>
  </si>
  <si>
    <t xml:space="preserve">G-046</t>
  </si>
  <si>
    <t xml:space="preserve">G-047</t>
  </si>
  <si>
    <t xml:space="preserve">G-048</t>
  </si>
  <si>
    <t xml:space="preserve">G-049</t>
  </si>
  <si>
    <t xml:space="preserve">G-050</t>
  </si>
  <si>
    <t xml:space="preserve">G-051</t>
  </si>
  <si>
    <t xml:space="preserve">Certificacion de pilotos del equipo</t>
  </si>
  <si>
    <t xml:space="preserve">G-052</t>
  </si>
  <si>
    <t xml:space="preserve">G-053</t>
  </si>
  <si>
    <t xml:space="preserve">G-054</t>
  </si>
  <si>
    <t xml:space="preserve">Demostraciones pretemporada</t>
  </si>
  <si>
    <t xml:space="preserve">G-055</t>
  </si>
  <si>
    <t xml:space="preserve">G-056</t>
  </si>
  <si>
    <t xml:space="preserve">G-057</t>
  </si>
  <si>
    <t xml:space="preserve">G-058</t>
  </si>
  <si>
    <t xml:space="preserve">Combustible entregas julio</t>
  </si>
  <si>
    <t xml:space="preserve">G-059</t>
  </si>
  <si>
    <t xml:space="preserve">G-060</t>
  </si>
  <si>
    <t xml:space="preserve">G-061</t>
  </si>
  <si>
    <t xml:space="preserve">G-062</t>
  </si>
  <si>
    <t xml:space="preserve">G-063</t>
  </si>
  <si>
    <t xml:space="preserve">Refacciones de taller</t>
  </si>
  <si>
    <t xml:space="preserve">G-064</t>
  </si>
  <si>
    <t xml:space="preserve">G-065</t>
  </si>
  <si>
    <t xml:space="preserve">G-066</t>
  </si>
  <si>
    <t xml:space="preserve">G-067</t>
  </si>
  <si>
    <t xml:space="preserve">G-068</t>
  </si>
  <si>
    <t xml:space="preserve">G-069</t>
  </si>
  <si>
    <t xml:space="preserve">Impuestos</t>
  </si>
  <si>
    <t xml:space="preserve">ISR provisional</t>
  </si>
  <si>
    <t xml:space="preserve">Pago provisional de ISR</t>
  </si>
  <si>
    <t xml:space="preserve">SAT</t>
  </si>
  <si>
    <t xml:space="preserve">G-070</t>
  </si>
  <si>
    <t xml:space="preserve">G-071</t>
  </si>
  <si>
    <t xml:space="preserve">G-072</t>
  </si>
  <si>
    <t xml:space="preserve">Combustible entregas agosto</t>
  </si>
  <si>
    <t xml:space="preserve">G-073</t>
  </si>
  <si>
    <t xml:space="preserve">G-074</t>
  </si>
  <si>
    <t xml:space="preserve">G-075</t>
  </si>
  <si>
    <t xml:space="preserve">Campana digital temporada otono</t>
  </si>
  <si>
    <t xml:space="preserve">G-076</t>
  </si>
  <si>
    <t xml:space="preserve">G-077</t>
  </si>
  <si>
    <t xml:space="preserve">G-078</t>
  </si>
  <si>
    <t xml:space="preserve">G-079</t>
  </si>
  <si>
    <t xml:space="preserve">G-080</t>
  </si>
  <si>
    <t xml:space="preserve">G-081</t>
  </si>
  <si>
    <t xml:space="preserve">G-082</t>
  </si>
  <si>
    <t xml:space="preserve">parametro</t>
  </si>
  <si>
    <t xml:space="preserve">valor</t>
  </si>
  <si>
    <t xml:space="preserve">nota</t>
  </si>
  <si>
    <t xml:space="preserve">nombre_cliente</t>
  </si>
  <si>
    <t xml:space="preserve">Agrodrones del Bajio S.A. de C.V. (EMPRESA FICTICIA)</t>
  </si>
  <si>
    <t xml:space="preserve">Empresa ficticia. Aparece en la portada del reporte.</t>
  </si>
  <si>
    <t xml:space="preserve">moneda_base</t>
  </si>
  <si>
    <t xml:space="preserve">MXN</t>
  </si>
  <si>
    <t xml:space="preserve">Moneda de captura.</t>
  </si>
  <si>
    <t xml:space="preserve">importes_incluyen_iva</t>
  </si>
  <si>
    <t xml:space="preserve">NO</t>
  </si>
  <si>
    <t xml:space="preserve">Importes sin IVA.</t>
  </si>
  <si>
    <t xml:space="preserve">tasa_iva</t>
  </si>
  <si>
    <t xml:space="preserve">Tasa aplicable.</t>
  </si>
  <si>
    <t xml:space="preserve">periodo_inicio</t>
  </si>
  <si>
    <t xml:space="preserve">Inicio del periodo.</t>
  </si>
  <si>
    <t xml:space="preserve">periodo_fin</t>
  </si>
  <si>
    <t xml:space="preserve">Fin del periodo.</t>
  </si>
  <si>
    <t xml:space="preserve">comision_base_default</t>
  </si>
  <si>
    <t xml:space="preserve">Base por omision de la comision.</t>
  </si>
  <si>
    <t xml:space="preserve">dias_credito_default</t>
  </si>
  <si>
    <t xml:space="preserve">Plazo estandar.</t>
  </si>
  <si>
    <t xml:space="preserve">provision_91_180</t>
  </si>
  <si>
    <t xml:space="preserve">% estimado incobrable 91-180 dias.</t>
  </si>
  <si>
    <t xml:space="preserve">provision_mas_180</t>
  </si>
  <si>
    <t xml:space="preserve">% estimado incobrable +180 dias.</t>
  </si>
  <si>
    <t xml:space="preserve">tipo_cambio_usd</t>
  </si>
  <si>
    <t xml:space="preserve">Solo si se compra en USD.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</si>
</sst>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5" t="s">
        <v>5</v>
      </c>
    </row>
    <row r="12" customFormat="false" ht="15" hidden="false" customHeight="false" outlineLevel="0" collapsed="false">
      <c r="B12" s="2" t="s">
        <v>6</v>
      </c>
    </row>
    <row r="13" customFormat="false" ht="15" hidden="false" customHeight="false" outlineLevel="0" collapsed="false">
      <c r="B13" s="2" t="s">
        <v>7</v>
      </c>
    </row>
    <row r="14" customFormat="false" ht="15" hidden="false" customHeight="false" outlineLevel="0" collapsed="false">
      <c r="B14" s="2" t="s">
        <v>8</v>
      </c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7"/>
    <col collapsed="false" customWidth="true" hidden="false" outlineLevel="0" max="8" min="7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7" min="16" style="0" width="15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n">
        <v>190000</v>
      </c>
      <c r="H2" s="7" t="n">
        <v>265000</v>
      </c>
      <c r="I2" s="7" t="n">
        <v>0.05</v>
      </c>
      <c r="J2" s="7" t="s">
        <v>36</v>
      </c>
      <c r="K2" s="7" t="n">
        <v>90</v>
      </c>
      <c r="L2" s="7" t="s">
        <v>37</v>
      </c>
      <c r="M2" s="7" t="s">
        <v>38</v>
      </c>
      <c r="N2" s="8" t="n">
        <f aca="false">IFERROR(H2-G2,"")</f>
        <v>75000</v>
      </c>
      <c r="O2" s="9" t="n">
        <f aca="false">IFERROR(N2/H2,"")</f>
        <v>0.283018867924528</v>
      </c>
      <c r="P2" s="8" t="n">
        <f aca="false">IFERROR(SUMIF(cobranza!$B$3:$B$1000,A2,cobranza!$D$3:$D$1000),0)</f>
        <v>0</v>
      </c>
      <c r="Q2" s="8" t="n">
        <f aca="false">IFERROR(H2-P2,"")</f>
        <v>265000</v>
      </c>
      <c r="R2" s="10"/>
    </row>
    <row r="3" customFormat="false" ht="15" hidden="false" customHeight="false" outlineLevel="0" collapsed="false">
      <c r="A3" s="11" t="s">
        <v>39</v>
      </c>
      <c r="B3" s="12" t="n">
        <v>46036</v>
      </c>
      <c r="C3" s="11" t="s">
        <v>32</v>
      </c>
      <c r="D3" s="11" t="s">
        <v>40</v>
      </c>
      <c r="E3" s="11" t="s">
        <v>41</v>
      </c>
      <c r="F3" s="11" t="s">
        <v>42</v>
      </c>
      <c r="G3" s="13" t="n">
        <v>380000</v>
      </c>
      <c r="H3" s="13" t="n">
        <v>520000</v>
      </c>
      <c r="I3" s="14" t="n">
        <v>0.05</v>
      </c>
      <c r="J3" s="11" t="s">
        <v>36</v>
      </c>
      <c r="K3" s="11"/>
      <c r="L3" s="11" t="s">
        <v>37</v>
      </c>
      <c r="M3" s="11" t="s">
        <v>43</v>
      </c>
      <c r="N3" s="15" t="n">
        <f aca="false">IFERROR(H3-G3,"")</f>
        <v>140000</v>
      </c>
      <c r="O3" s="16" t="n">
        <f aca="false">IFERROR(N3/H3,"")</f>
        <v>0.269230769230769</v>
      </c>
      <c r="P3" s="15" t="n">
        <f aca="false">IF($A3="","",IF(COUNTIF($A$3:$A3,$A3)=1,SUMIF(cobranza!$B$3:$B$1000,$A3,cobranza!$D$3:$D$1000),"↑"))</f>
        <v>200000</v>
      </c>
      <c r="Q3" s="15" t="n">
        <f aca="false">IF($A3="","",IF(COUNTIF($A$3:$A3,$A3)=1,SUMIFS($H$3:$H$1000,$A$3:$A$1000,$A3,$C$3:$C$1000,"&lt;&gt;Demo")-P3,"↑"))</f>
        <v>320000</v>
      </c>
      <c r="R3" s="17"/>
    </row>
    <row r="4" customFormat="false" ht="15" hidden="false" customHeight="false" outlineLevel="0" collapsed="false">
      <c r="A4" s="11" t="s">
        <v>44</v>
      </c>
      <c r="B4" s="12" t="n">
        <v>46050</v>
      </c>
      <c r="C4" s="11" t="s">
        <v>32</v>
      </c>
      <c r="D4" s="11" t="s">
        <v>45</v>
      </c>
      <c r="E4" s="11" t="s">
        <v>34</v>
      </c>
      <c r="F4" s="11" t="s">
        <v>46</v>
      </c>
      <c r="G4" s="13" t="n">
        <v>190000</v>
      </c>
      <c r="H4" s="13" t="n">
        <v>265000</v>
      </c>
      <c r="I4" s="14"/>
      <c r="J4" s="11" t="s">
        <v>47</v>
      </c>
      <c r="K4" s="11"/>
      <c r="L4" s="11" t="s">
        <v>37</v>
      </c>
      <c r="M4" s="11" t="s">
        <v>48</v>
      </c>
      <c r="N4" s="15" t="n">
        <f aca="false">IFERROR(H4-G4,"")</f>
        <v>75000</v>
      </c>
      <c r="O4" s="16" t="n">
        <f aca="false">IFERROR(N4/H4,"")</f>
        <v>0.283018867924528</v>
      </c>
      <c r="P4" s="15" t="n">
        <f aca="false">IF($A4="","",IF(COUNTIF($A$3:$A4,$A4)=1,SUMIF(cobranza!$B$3:$B$1000,$A4,cobranza!$D$3:$D$1000),"↑"))</f>
        <v>90000</v>
      </c>
      <c r="Q4" s="15" t="n">
        <f aca="false">IF($A4="","",IF(COUNTIF($A$3:$A4,$A4)=1,SUMIFS($H$3:$H$1000,$A$3:$A$1000,$A4,$C$3:$C$1000,"&lt;&gt;Demo")-P4,"↑"))</f>
        <v>175000</v>
      </c>
      <c r="R4" s="17"/>
    </row>
    <row r="5" customFormat="false" ht="15" hidden="false" customHeight="false" outlineLevel="0" collapsed="false">
      <c r="A5" s="11" t="s">
        <v>49</v>
      </c>
      <c r="B5" s="12" t="n">
        <v>46062</v>
      </c>
      <c r="C5" s="11" t="s">
        <v>32</v>
      </c>
      <c r="D5" s="11" t="s">
        <v>50</v>
      </c>
      <c r="E5" s="11" t="s">
        <v>51</v>
      </c>
      <c r="F5" s="11" t="s">
        <v>52</v>
      </c>
      <c r="G5" s="13" t="n">
        <v>295000</v>
      </c>
      <c r="H5" s="13" t="n">
        <v>385000</v>
      </c>
      <c r="I5" s="14" t="n">
        <v>0.05</v>
      </c>
      <c r="J5" s="11" t="s">
        <v>36</v>
      </c>
      <c r="K5" s="11"/>
      <c r="L5" s="11" t="s">
        <v>37</v>
      </c>
      <c r="M5" s="11" t="s">
        <v>43</v>
      </c>
      <c r="N5" s="15" t="n">
        <f aca="false">IFERROR(H5-G5,"")</f>
        <v>90000</v>
      </c>
      <c r="O5" s="16" t="n">
        <f aca="false">IFERROR(N5/H5,"")</f>
        <v>0.233766233766234</v>
      </c>
      <c r="P5" s="15" t="n">
        <f aca="false">IF($A5="","",IF(COUNTIF($A$3:$A5,$A5)=1,SUMIF(cobranza!$B$3:$B$1000,$A5,cobranza!$D$3:$D$1000),"↑"))</f>
        <v>210000</v>
      </c>
      <c r="Q5" s="15" t="n">
        <f aca="false">IF($A5="","",IF(COUNTIF($A$3:$A5,$A5)=1,SUMIFS($H$3:$H$1000,$A$3:$A$1000,$A5,$C$3:$C$1000,"&lt;&gt;Demo")-P5,"↑"))</f>
        <v>175000</v>
      </c>
      <c r="R5" s="17"/>
    </row>
    <row r="6" customFormat="false" ht="15" hidden="false" customHeight="false" outlineLevel="0" collapsed="false">
      <c r="A6" s="11" t="s">
        <v>53</v>
      </c>
      <c r="B6" s="12" t="n">
        <v>46062</v>
      </c>
      <c r="C6" s="11" t="s">
        <v>54</v>
      </c>
      <c r="D6" s="11" t="s">
        <v>55</v>
      </c>
      <c r="E6" s="11" t="s">
        <v>56</v>
      </c>
      <c r="F6" s="11" t="s">
        <v>57</v>
      </c>
      <c r="G6" s="13" t="n">
        <v>28000</v>
      </c>
      <c r="H6" s="13" t="n">
        <v>42000</v>
      </c>
      <c r="I6" s="14"/>
      <c r="J6" s="11" t="s">
        <v>47</v>
      </c>
      <c r="K6" s="11"/>
      <c r="L6" s="11" t="s">
        <v>58</v>
      </c>
      <c r="M6" s="11" t="s">
        <v>43</v>
      </c>
      <c r="N6" s="15" t="n">
        <f aca="false">IFERROR(H6-G6,"")</f>
        <v>14000</v>
      </c>
      <c r="O6" s="16" t="n">
        <f aca="false">IFERROR(N6/H6,"")</f>
        <v>0.333333333333333</v>
      </c>
      <c r="P6" s="15" t="n">
        <f aca="false">IF($A6="","",IF(COUNTIF($A$3:$A6,$A6)=1,SUMIF(cobranza!$B$3:$B$1000,$A6,cobranza!$D$3:$D$1000),"↑"))</f>
        <v>42000</v>
      </c>
      <c r="Q6" s="15" t="n">
        <f aca="false">IF($A6="","",IF(COUNTIF($A$3:$A6,$A6)=1,SUMIFS($H$3:$H$1000,$A$3:$A$1000,$A6,$C$3:$C$1000,"&lt;&gt;Demo")-P6,"↑"))</f>
        <v>0</v>
      </c>
      <c r="R6" s="17"/>
    </row>
    <row r="7" customFormat="false" ht="15" hidden="false" customHeight="false" outlineLevel="0" collapsed="false">
      <c r="A7" s="11" t="s">
        <v>59</v>
      </c>
      <c r="B7" s="12" t="n">
        <v>46073</v>
      </c>
      <c r="C7" s="11" t="s">
        <v>32</v>
      </c>
      <c r="D7" s="11" t="s">
        <v>60</v>
      </c>
      <c r="E7" s="11" t="s">
        <v>61</v>
      </c>
      <c r="F7" s="11" t="s">
        <v>62</v>
      </c>
      <c r="G7" s="13" t="n">
        <v>128000</v>
      </c>
      <c r="H7" s="13" t="n">
        <v>178000</v>
      </c>
      <c r="I7" s="14"/>
      <c r="J7" s="11" t="s">
        <v>47</v>
      </c>
      <c r="K7" s="11" t="n">
        <v>60</v>
      </c>
      <c r="L7" s="11" t="s">
        <v>58</v>
      </c>
      <c r="M7" s="11" t="s">
        <v>48</v>
      </c>
      <c r="N7" s="15" t="n">
        <f aca="false">IFERROR(H7-G7,"")</f>
        <v>50000</v>
      </c>
      <c r="O7" s="16" t="n">
        <f aca="false">IFERROR(N7/H7,"")</f>
        <v>0.280898876404494</v>
      </c>
      <c r="P7" s="15" t="n">
        <f aca="false">IF($A7="","",IF(COUNTIF($A$3:$A7,$A7)=1,SUMIF(cobranza!$B$3:$B$1000,$A7,cobranza!$D$3:$D$1000),"↑"))</f>
        <v>178000</v>
      </c>
      <c r="Q7" s="15" t="n">
        <f aca="false">IF($A7="","",IF(COUNTIF($A$3:$A7,$A7)=1,SUMIFS($H$3:$H$1000,$A$3:$A$1000,$A7,$C$3:$C$1000,"&lt;&gt;Demo")-P7,"↑"))</f>
        <v>0</v>
      </c>
      <c r="R7" s="17"/>
    </row>
    <row r="8" customFormat="false" ht="15" hidden="false" customHeight="false" outlineLevel="0" collapsed="false">
      <c r="A8" s="11" t="s">
        <v>63</v>
      </c>
      <c r="B8" s="12" t="n">
        <v>46084</v>
      </c>
      <c r="C8" s="11" t="s">
        <v>64</v>
      </c>
      <c r="D8" s="11" t="s">
        <v>65</v>
      </c>
      <c r="E8" s="11" t="s">
        <v>51</v>
      </c>
      <c r="F8" s="11" t="s">
        <v>66</v>
      </c>
      <c r="G8" s="13" t="n">
        <v>295000</v>
      </c>
      <c r="H8" s="13"/>
      <c r="I8" s="14"/>
      <c r="J8" s="11" t="s">
        <v>47</v>
      </c>
      <c r="K8" s="11"/>
      <c r="L8" s="11" t="s">
        <v>58</v>
      </c>
      <c r="M8" s="11"/>
      <c r="N8" s="15" t="n">
        <f aca="false">IFERROR(H8-G8,"")</f>
        <v>-295000</v>
      </c>
      <c r="O8" s="16" t="str">
        <f aca="false">IFERROR(N8/H8,"")</f>
        <v/>
      </c>
      <c r="P8" s="15" t="n">
        <f aca="false">IF($A8="","",IF(COUNTIF($A$3:$A8,$A8)=1,SUMIF(cobranza!$B$3:$B$1000,$A8,cobranza!$D$3:$D$1000),"↑"))</f>
        <v>295000</v>
      </c>
      <c r="Q8" s="15" t="n">
        <f aca="false">IF($A8="","",IF(COUNTIF($A$3:$A8,$A8)=1,SUMIFS($H$3:$H$1000,$A$3:$A$1000,$A8,$C$3:$C$1000,"&lt;&gt;Demo")-P8,"↑"))</f>
        <v>-295000</v>
      </c>
      <c r="R8" s="18" t="s">
        <v>67</v>
      </c>
    </row>
    <row r="9" customFormat="false" ht="15" hidden="false" customHeight="false" outlineLevel="0" collapsed="false">
      <c r="A9" s="11" t="s">
        <v>68</v>
      </c>
      <c r="B9" s="12" t="n">
        <v>46099</v>
      </c>
      <c r="C9" s="11" t="s">
        <v>32</v>
      </c>
      <c r="D9" s="11" t="s">
        <v>69</v>
      </c>
      <c r="E9" s="11" t="s">
        <v>41</v>
      </c>
      <c r="F9" s="11" t="s">
        <v>70</v>
      </c>
      <c r="G9" s="13" t="n">
        <v>380000</v>
      </c>
      <c r="H9" s="13" t="n">
        <v>520000</v>
      </c>
      <c r="I9" s="14" t="n">
        <v>0.07</v>
      </c>
      <c r="J9" s="11" t="s">
        <v>36</v>
      </c>
      <c r="K9" s="11" t="n">
        <v>90</v>
      </c>
      <c r="L9" s="11" t="s">
        <v>37</v>
      </c>
      <c r="M9" s="11" t="s">
        <v>43</v>
      </c>
      <c r="N9" s="15" t="n">
        <f aca="false">IFERROR(H9-G9,"")</f>
        <v>140000</v>
      </c>
      <c r="O9" s="16" t="n">
        <f aca="false">IFERROR(N9/H9,"")</f>
        <v>0.269230769230769</v>
      </c>
      <c r="P9" s="15" t="n">
        <f aca="false">IF($A9="","",IF(COUNTIF($A$3:$A9,$A9)=1,SUMIF(cobranza!$B$3:$B$1000,$A9,cobranza!$D$3:$D$1000),"↑"))</f>
        <v>295000</v>
      </c>
      <c r="Q9" s="15" t="n">
        <f aca="false">IF($A9="","",IF(COUNTIF($A$3:$A9,$A9)=1,SUMIFS($H$3:$H$1000,$A$3:$A$1000,$A9,$C$3:$C$1000,"&lt;&gt;Demo")-P9,"↑"))</f>
        <v>225000</v>
      </c>
      <c r="R9" s="17"/>
    </row>
    <row r="10" customFormat="false" ht="15" hidden="false" customHeight="false" outlineLevel="0" collapsed="false">
      <c r="A10" s="11" t="s">
        <v>71</v>
      </c>
      <c r="B10" s="12" t="n">
        <v>46119</v>
      </c>
      <c r="C10" s="11" t="s">
        <v>32</v>
      </c>
      <c r="D10" s="11" t="s">
        <v>72</v>
      </c>
      <c r="E10" s="11" t="s">
        <v>34</v>
      </c>
      <c r="F10" s="11" t="s">
        <v>73</v>
      </c>
      <c r="G10" s="13" t="n">
        <v>190000</v>
      </c>
      <c r="H10" s="13" t="n">
        <v>265000</v>
      </c>
      <c r="I10" s="14"/>
      <c r="J10" s="11" t="s">
        <v>47</v>
      </c>
      <c r="K10" s="11" t="n">
        <v>90</v>
      </c>
      <c r="L10" s="11" t="s">
        <v>37</v>
      </c>
      <c r="M10" s="11" t="s">
        <v>48</v>
      </c>
      <c r="N10" s="15" t="n">
        <f aca="false">IFERROR(H10-G10,"")</f>
        <v>75000</v>
      </c>
      <c r="O10" s="16" t="n">
        <f aca="false">IFERROR(N10/H10,"")</f>
        <v>0.283018867924528</v>
      </c>
      <c r="P10" s="15" t="n">
        <f aca="false">IF($A10="","",IF(COUNTIF($A$3:$A10,$A10)=1,SUMIF(cobranza!$B$3:$B$1000,$A10,cobranza!$D$3:$D$1000),"↑"))</f>
        <v>124000</v>
      </c>
      <c r="Q10" s="15" t="n">
        <f aca="false">IF($A10="","",IF(COUNTIF($A$3:$A10,$A10)=1,SUMIFS($H$3:$H$1000,$A$3:$A$1000,$A10,$C$3:$C$1000,"&lt;&gt;Demo")-P10,"↑"))</f>
        <v>165000</v>
      </c>
      <c r="R10" s="17"/>
    </row>
    <row r="11" customFormat="false" ht="15" hidden="false" customHeight="false" outlineLevel="0" collapsed="false">
      <c r="A11" s="11" t="s">
        <v>71</v>
      </c>
      <c r="B11" s="12" t="n">
        <v>46119</v>
      </c>
      <c r="C11" s="11" t="s">
        <v>54</v>
      </c>
      <c r="D11" s="11" t="s">
        <v>72</v>
      </c>
      <c r="E11" s="11" t="s">
        <v>75</v>
      </c>
      <c r="F11" s="11" t="s">
        <v>76</v>
      </c>
      <c r="G11" s="13" t="n">
        <v>14500</v>
      </c>
      <c r="H11" s="13" t="n">
        <v>24000</v>
      </c>
      <c r="I11" s="14"/>
      <c r="J11" s="11" t="s">
        <v>47</v>
      </c>
      <c r="K11" s="11"/>
      <c r="L11" s="11"/>
      <c r="M11" s="11" t="s">
        <v>48</v>
      </c>
      <c r="N11" s="15" t="n">
        <f aca="false">IFERROR(H11-G11,"")</f>
        <v>9500</v>
      </c>
      <c r="O11" s="16" t="n">
        <f aca="false">IFERROR(N11/H11,"")</f>
        <v>0.395833333333333</v>
      </c>
      <c r="P11" s="15" t="str">
        <f aca="false">IF($A11="","",IF(COUNTIF($A$3:$A11,$A11)=1,SUMIF(cobranza!$B$3:$B$1000,$A11,cobranza!$D$3:$D$1000),"↑"))</f>
        <v>↑</v>
      </c>
      <c r="Q11" s="15" t="str">
        <f aca="false">IF($A11="","",IF(COUNTIF($A$3:$A11,$A11)=1,SUMIFS($H$3:$H$1000,$A$3:$A$1000,$A11,$C$3:$C$1000,"&lt;&gt;Demo")-P11,"↑"))</f>
        <v>↑</v>
      </c>
      <c r="R11" s="17"/>
    </row>
    <row r="12" customFormat="false" ht="15" hidden="false" customHeight="false" outlineLevel="0" collapsed="false">
      <c r="A12" s="11" t="s">
        <v>77</v>
      </c>
      <c r="B12" s="12" t="n">
        <v>46134</v>
      </c>
      <c r="C12" s="11" t="s">
        <v>78</v>
      </c>
      <c r="D12" s="11" t="s">
        <v>79</v>
      </c>
      <c r="E12" s="11" t="s">
        <v>80</v>
      </c>
      <c r="F12" s="11"/>
      <c r="G12" s="13" t="n">
        <v>18000</v>
      </c>
      <c r="H12" s="13" t="n">
        <v>32000</v>
      </c>
      <c r="I12" s="14"/>
      <c r="J12" s="11" t="s">
        <v>47</v>
      </c>
      <c r="K12" s="11"/>
      <c r="L12" s="11" t="s">
        <v>58</v>
      </c>
      <c r="M12" s="11" t="s">
        <v>43</v>
      </c>
      <c r="N12" s="15" t="n">
        <f aca="false">IFERROR(H12-G12,"")</f>
        <v>14000</v>
      </c>
      <c r="O12" s="16" t="n">
        <f aca="false">IFERROR(N12/H12,"")</f>
        <v>0.4375</v>
      </c>
      <c r="P12" s="15" t="n">
        <f aca="false">IF($A12="","",IF(COUNTIF($A$3:$A12,$A12)=1,SUMIF(cobranza!$B$3:$B$1000,$A12,cobranza!$D$3:$D$1000),"↑"))</f>
        <v>32000</v>
      </c>
      <c r="Q12" s="15" t="n">
        <f aca="false">IF($A12="","",IF(COUNTIF($A$3:$A12,$A12)=1,SUMIFS($H$3:$H$1000,$A$3:$A$1000,$A12,$C$3:$C$1000,"&lt;&gt;Demo")-P12,"↑"))</f>
        <v>0</v>
      </c>
      <c r="R12" s="17"/>
    </row>
    <row r="13" customFormat="false" ht="15" hidden="false" customHeight="false" outlineLevel="0" collapsed="false">
      <c r="A13" s="11" t="s">
        <v>81</v>
      </c>
      <c r="B13" s="12" t="n">
        <v>46153</v>
      </c>
      <c r="C13" s="11" t="s">
        <v>32</v>
      </c>
      <c r="D13" s="11" t="s">
        <v>82</v>
      </c>
      <c r="E13" s="11" t="s">
        <v>51</v>
      </c>
      <c r="F13" s="11" t="s">
        <v>83</v>
      </c>
      <c r="G13" s="13" t="n">
        <v>295000</v>
      </c>
      <c r="H13" s="13" t="n">
        <v>385000</v>
      </c>
      <c r="I13" s="14" t="n">
        <v>0.05</v>
      </c>
      <c r="J13" s="11" t="s">
        <v>36</v>
      </c>
      <c r="K13" s="11" t="n">
        <v>90</v>
      </c>
      <c r="L13" s="11" t="s">
        <v>37</v>
      </c>
      <c r="M13" s="11" t="s">
        <v>43</v>
      </c>
      <c r="N13" s="15" t="n">
        <f aca="false">IFERROR(H13-G13,"")</f>
        <v>90000</v>
      </c>
      <c r="O13" s="16" t="n">
        <f aca="false">IFERROR(N13/H13,"")</f>
        <v>0.233766233766234</v>
      </c>
      <c r="P13" s="15" t="n">
        <f aca="false">IF($A13="","",IF(COUNTIF($A$3:$A13,$A13)=1,SUMIF(cobranza!$B$3:$B$1000,$A13,cobranza!$D$3:$D$1000),"↑"))</f>
        <v>290000</v>
      </c>
      <c r="Q13" s="15" t="n">
        <f aca="false">IF($A13="","",IF(COUNTIF($A$3:$A13,$A13)=1,SUMIFS($H$3:$H$1000,$A$3:$A$1000,$A13,$C$3:$C$1000,"&lt;&gt;Demo")-P13,"↑"))</f>
        <v>95000</v>
      </c>
      <c r="R13" s="17"/>
    </row>
    <row r="14" customFormat="false" ht="15" hidden="false" customHeight="false" outlineLevel="0" collapsed="false">
      <c r="A14" s="11" t="s">
        <v>84</v>
      </c>
      <c r="B14" s="12" t="n">
        <v>46168</v>
      </c>
      <c r="C14" s="11" t="s">
        <v>85</v>
      </c>
      <c r="D14" s="11" t="s">
        <v>69</v>
      </c>
      <c r="E14" s="11" t="s">
        <v>86</v>
      </c>
      <c r="F14" s="11"/>
      <c r="G14" s="13" t="n">
        <v>4500</v>
      </c>
      <c r="H14" s="13" t="n">
        <v>12000</v>
      </c>
      <c r="I14" s="14"/>
      <c r="J14" s="11" t="s">
        <v>47</v>
      </c>
      <c r="K14" s="11"/>
      <c r="L14" s="11" t="s">
        <v>58</v>
      </c>
      <c r="M14" s="11" t="s">
        <v>48</v>
      </c>
      <c r="N14" s="15" t="n">
        <f aca="false">IFERROR(H14-G14,"")</f>
        <v>7500</v>
      </c>
      <c r="O14" s="16" t="n">
        <f aca="false">IFERROR(N14/H14,"")</f>
        <v>0.625</v>
      </c>
      <c r="P14" s="15" t="n">
        <f aca="false">IF($A14="","",IF(COUNTIF($A$3:$A14,$A14)=1,SUMIF(cobranza!$B$3:$B$1000,$A14,cobranza!$D$3:$D$1000),"↑"))</f>
        <v>12000</v>
      </c>
      <c r="Q14" s="15" t="n">
        <f aca="false">IF($A14="","",IF(COUNTIF($A$3:$A14,$A14)=1,SUMIFS($H$3:$H$1000,$A$3:$A$1000,$A14,$C$3:$C$1000,"&lt;&gt;Demo")-P14,"↑"))</f>
        <v>0</v>
      </c>
      <c r="R14" s="17"/>
    </row>
    <row r="15" customFormat="false" ht="15" hidden="false" customHeight="false" outlineLevel="0" collapsed="false">
      <c r="A15" s="11" t="s">
        <v>87</v>
      </c>
      <c r="B15" s="12" t="n">
        <v>46177</v>
      </c>
      <c r="C15" s="11" t="s">
        <v>32</v>
      </c>
      <c r="D15" s="11" t="s">
        <v>88</v>
      </c>
      <c r="E15" s="11" t="s">
        <v>61</v>
      </c>
      <c r="F15" s="11" t="s">
        <v>89</v>
      </c>
      <c r="G15" s="13" t="n">
        <v>128000</v>
      </c>
      <c r="H15" s="13" t="n">
        <v>178000</v>
      </c>
      <c r="I15" s="14"/>
      <c r="J15" s="11" t="s">
        <v>47</v>
      </c>
      <c r="K15" s="11"/>
      <c r="L15" s="11" t="s">
        <v>37</v>
      </c>
      <c r="M15" s="11" t="s">
        <v>48</v>
      </c>
      <c r="N15" s="15" t="n">
        <f aca="false">IFERROR(H15-G15,"")</f>
        <v>50000</v>
      </c>
      <c r="O15" s="16" t="n">
        <f aca="false">IFERROR(N15/H15,"")</f>
        <v>0.280898876404494</v>
      </c>
      <c r="P15" s="15" t="n">
        <f aca="false">IF($A15="","",IF(COUNTIF($A$3:$A15,$A15)=1,SUMIF(cobranza!$B$3:$B$1000,$A15,cobranza!$D$3:$D$1000),"↑"))</f>
        <v>60000</v>
      </c>
      <c r="Q15" s="15" t="n">
        <f aca="false">IF($A15="","",IF(COUNTIF($A$3:$A15,$A15)=1,SUMIFS($H$3:$H$1000,$A$3:$A$1000,$A15,$C$3:$C$1000,"&lt;&gt;Demo")-P15,"↑"))</f>
        <v>118000</v>
      </c>
      <c r="R15" s="17"/>
    </row>
    <row r="16" customFormat="false" ht="15" hidden="false" customHeight="false" outlineLevel="0" collapsed="false">
      <c r="A16" s="11" t="s">
        <v>90</v>
      </c>
      <c r="B16" s="12" t="n">
        <v>46192</v>
      </c>
      <c r="C16" s="11" t="s">
        <v>91</v>
      </c>
      <c r="D16" s="11" t="s">
        <v>45</v>
      </c>
      <c r="E16" s="11" t="s">
        <v>92</v>
      </c>
      <c r="F16" s="11" t="s">
        <v>93</v>
      </c>
      <c r="G16" s="13" t="n">
        <v>5400</v>
      </c>
      <c r="H16" s="13" t="n">
        <v>9800</v>
      </c>
      <c r="I16" s="14"/>
      <c r="J16" s="11" t="s">
        <v>47</v>
      </c>
      <c r="K16" s="11"/>
      <c r="L16" s="11" t="s">
        <v>58</v>
      </c>
      <c r="M16" s="11" t="s">
        <v>48</v>
      </c>
      <c r="N16" s="15" t="n">
        <f aca="false">IFERROR(H16-G16,"")</f>
        <v>4400</v>
      </c>
      <c r="O16" s="16" t="n">
        <f aca="false">IFERROR(N16/H16,"")</f>
        <v>0.448979591836735</v>
      </c>
      <c r="P16" s="15" t="n">
        <f aca="false">IF($A16="","",IF(COUNTIF($A$3:$A16,$A16)=1,SUMIF(cobranza!$B$3:$B$1000,$A16,cobranza!$D$3:$D$1000),"↑"))</f>
        <v>9800</v>
      </c>
      <c r="Q16" s="15" t="n">
        <f aca="false">IF($A16="","",IF(COUNTIF($A$3:$A16,$A16)=1,SUMIFS($H$3:$H$1000,$A$3:$A$1000,$A16,$C$3:$C$1000,"&lt;&gt;Demo")-P16,"↑"))</f>
        <v>0</v>
      </c>
      <c r="R16" s="17"/>
    </row>
    <row r="17" customFormat="false" ht="15" hidden="false" customHeight="false" outlineLevel="0" collapsed="false">
      <c r="A17" s="11" t="s">
        <v>94</v>
      </c>
      <c r="B17" s="12" t="n">
        <v>46205</v>
      </c>
      <c r="C17" s="11" t="s">
        <v>32</v>
      </c>
      <c r="D17" s="11" t="s">
        <v>95</v>
      </c>
      <c r="E17" s="11" t="s">
        <v>41</v>
      </c>
      <c r="F17" s="11" t="s">
        <v>96</v>
      </c>
      <c r="G17" s="13" t="n">
        <v>380000</v>
      </c>
      <c r="H17" s="13" t="n">
        <v>520000</v>
      </c>
      <c r="I17" s="14" t="n">
        <v>0.05</v>
      </c>
      <c r="J17" s="11" t="s">
        <v>36</v>
      </c>
      <c r="K17" s="11" t="n">
        <v>60</v>
      </c>
      <c r="L17" s="11" t="s">
        <v>37</v>
      </c>
      <c r="M17" s="11" t="s">
        <v>43</v>
      </c>
      <c r="N17" s="15" t="n">
        <f aca="false">IFERROR(H17-G17,"")</f>
        <v>140000</v>
      </c>
      <c r="O17" s="16" t="n">
        <f aca="false">IFERROR(N17/H17,"")</f>
        <v>0.269230769230769</v>
      </c>
      <c r="P17" s="15" t="n">
        <f aca="false">IF($A17="","",IF(COUNTIF($A$3:$A17,$A17)=1,SUMIF(cobranza!$B$3:$B$1000,$A17,cobranza!$D$3:$D$1000),"↑"))</f>
        <v>431500</v>
      </c>
      <c r="Q17" s="15" t="n">
        <f aca="false">IF($A17="","",IF(COUNTIF($A$3:$A17,$A17)=1,SUMIFS($H$3:$H$1000,$A$3:$A$1000,$A17,$C$3:$C$1000,"&lt;&gt;Demo")-P17,"↑"))</f>
        <v>100000</v>
      </c>
      <c r="R17" s="17"/>
    </row>
    <row r="18" customFormat="false" ht="15" hidden="false" customHeight="false" outlineLevel="0" collapsed="false">
      <c r="A18" s="11" t="s">
        <v>94</v>
      </c>
      <c r="B18" s="12" t="n">
        <v>46205</v>
      </c>
      <c r="C18" s="11" t="s">
        <v>54</v>
      </c>
      <c r="D18" s="11" t="s">
        <v>95</v>
      </c>
      <c r="E18" s="11" t="s">
        <v>98</v>
      </c>
      <c r="F18" s="11" t="s">
        <v>99</v>
      </c>
      <c r="G18" s="13" t="n">
        <v>6800</v>
      </c>
      <c r="H18" s="13" t="n">
        <v>11500</v>
      </c>
      <c r="I18" s="14"/>
      <c r="J18" s="11" t="s">
        <v>47</v>
      </c>
      <c r="K18" s="11"/>
      <c r="L18" s="11" t="s">
        <v>58</v>
      </c>
      <c r="M18" s="11" t="s">
        <v>43</v>
      </c>
      <c r="N18" s="15" t="n">
        <f aca="false">IFERROR(H18-G18,"")</f>
        <v>4700</v>
      </c>
      <c r="O18" s="16" t="n">
        <f aca="false">IFERROR(N18/H18,"")</f>
        <v>0.408695652173913</v>
      </c>
      <c r="P18" s="15" t="str">
        <f aca="false">IF($A18="","",IF(COUNTIF($A$3:$A18,$A18)=1,SUMIF(cobranza!$B$3:$B$1000,$A18,cobranza!$D$3:$D$1000),"↑"))</f>
        <v>↑</v>
      </c>
      <c r="Q18" s="15" t="str">
        <f aca="false">IF($A18="","",IF(COUNTIF($A$3:$A18,$A18)=1,SUMIFS($H$3:$H$1000,$A$3:$A$1000,$A18,$C$3:$C$1000,"&lt;&gt;Demo")-P18,"↑"))</f>
        <v>↑</v>
      </c>
      <c r="R18" s="17"/>
    </row>
    <row r="19" customFormat="false" ht="15" hidden="false" customHeight="false" outlineLevel="0" collapsed="false">
      <c r="A19" s="11" t="s">
        <v>100</v>
      </c>
      <c r="B19" s="12" t="n">
        <v>46218</v>
      </c>
      <c r="C19" s="11" t="s">
        <v>32</v>
      </c>
      <c r="D19" s="11" t="s">
        <v>40</v>
      </c>
      <c r="E19" s="11" t="s">
        <v>34</v>
      </c>
      <c r="F19" s="11" t="s">
        <v>101</v>
      </c>
      <c r="G19" s="13" t="n">
        <v>190000</v>
      </c>
      <c r="H19" s="13" t="n">
        <v>265000</v>
      </c>
      <c r="I19" s="14"/>
      <c r="J19" s="11" t="s">
        <v>47</v>
      </c>
      <c r="K19" s="11" t="n">
        <v>90</v>
      </c>
      <c r="L19" s="11" t="s">
        <v>37</v>
      </c>
      <c r="M19" s="11" t="s">
        <v>43</v>
      </c>
      <c r="N19" s="15" t="n">
        <f aca="false">IFERROR(H19-G19,"")</f>
        <v>75000</v>
      </c>
      <c r="O19" s="16" t="n">
        <f aca="false">IFERROR(N19/H19,"")</f>
        <v>0.283018867924528</v>
      </c>
      <c r="P19" s="15" t="n">
        <f aca="false">IF($A19="","",IF(COUNTIF($A$3:$A19,$A19)=1,SUMIF(cobranza!$B$3:$B$1000,$A19,cobranza!$D$3:$D$1000),"↑"))</f>
        <v>150000</v>
      </c>
      <c r="Q19" s="15" t="n">
        <f aca="false">IF($A19="","",IF(COUNTIF($A$3:$A19,$A19)=1,SUMIFS($H$3:$H$1000,$A$3:$A$1000,$A19,$C$3:$C$1000,"&lt;&gt;Demo")-P19,"↑"))</f>
        <v>115000</v>
      </c>
      <c r="R19" s="17"/>
    </row>
    <row r="20" customFormat="false" ht="15" hidden="false" customHeight="false" outlineLevel="0" collapsed="false">
      <c r="A20" s="11" t="s">
        <v>102</v>
      </c>
      <c r="B20" s="12" t="n">
        <v>46224</v>
      </c>
      <c r="C20" s="11" t="s">
        <v>54</v>
      </c>
      <c r="D20" s="11" t="s">
        <v>40</v>
      </c>
      <c r="E20" s="11" t="s">
        <v>103</v>
      </c>
      <c r="F20" s="11" t="s">
        <v>104</v>
      </c>
      <c r="G20" s="13" t="n">
        <v>3200</v>
      </c>
      <c r="H20" s="13" t="n">
        <v>5900</v>
      </c>
      <c r="I20" s="14"/>
      <c r="J20" s="11" t="s">
        <v>47</v>
      </c>
      <c r="K20" s="11"/>
      <c r="L20" s="11" t="s">
        <v>58</v>
      </c>
      <c r="M20" s="11" t="s">
        <v>43</v>
      </c>
      <c r="N20" s="15" t="n">
        <f aca="false">IFERROR(H20-G20,"")</f>
        <v>2700</v>
      </c>
      <c r="O20" s="16" t="n">
        <f aca="false">IFERROR(N20/H20,"")</f>
        <v>0.457627118644068</v>
      </c>
      <c r="P20" s="15" t="n">
        <f aca="false">IF($A20="","",IF(COUNTIF($A$3:$A20,$A20)=1,SUMIF(cobranza!$B$3:$B$1000,$A20,cobranza!$D$3:$D$1000),"↑"))</f>
        <v>6100</v>
      </c>
      <c r="Q20" s="15" t="n">
        <f aca="false">IF($A20="","",IF(COUNTIF($A$3:$A20,$A20)=1,SUMIFS($H$3:$H$1000,$A$3:$A$1000,$A20,$C$3:$C$1000,"&lt;&gt;Demo")-P20,"↑"))</f>
        <v>-200</v>
      </c>
      <c r="R20" s="17"/>
    </row>
    <row r="21" customFormat="false" ht="15" hidden="false" customHeight="false" outlineLevel="0" collapsed="false">
      <c r="A21" s="11" t="s">
        <v>105</v>
      </c>
      <c r="B21" s="12" t="n">
        <v>46232</v>
      </c>
      <c r="C21" s="11" t="s">
        <v>32</v>
      </c>
      <c r="D21" s="11" t="s">
        <v>60</v>
      </c>
      <c r="E21" s="11" t="s">
        <v>51</v>
      </c>
      <c r="F21" s="11" t="s">
        <v>106</v>
      </c>
      <c r="G21" s="13" t="n">
        <v>295000</v>
      </c>
      <c r="H21" s="13" t="n">
        <v>385000</v>
      </c>
      <c r="I21" s="14" t="n">
        <v>0.05</v>
      </c>
      <c r="J21" s="11" t="s">
        <v>36</v>
      </c>
      <c r="K21" s="11" t="n">
        <v>90</v>
      </c>
      <c r="L21" s="11" t="s">
        <v>37</v>
      </c>
      <c r="M21" s="11" t="s">
        <v>48</v>
      </c>
      <c r="N21" s="15" t="n">
        <f aca="false">IFERROR(H21-G21,"")</f>
        <v>90000</v>
      </c>
      <c r="O21" s="16" t="n">
        <f aca="false">IFERROR(N21/H21,"")</f>
        <v>0.233766233766234</v>
      </c>
      <c r="P21" s="15" t="n">
        <f aca="false">IF($A21="","",IF(COUNTIF($A$3:$A21,$A21)=1,SUMIF(cobranza!$B$3:$B$1000,$A21,cobranza!$D$3:$D$1000),"↑"))</f>
        <v>180000</v>
      </c>
      <c r="Q21" s="15" t="n">
        <f aca="false">IF($A21="","",IF(COUNTIF($A$3:$A21,$A21)=1,SUMIFS($H$3:$H$1000,$A$3:$A$1000,$A21,$C$3:$C$1000,"&lt;&gt;Demo")-P21,"↑"))</f>
        <v>205000</v>
      </c>
      <c r="R21" s="17"/>
    </row>
    <row r="22" customFormat="false" ht="15" hidden="false" customHeight="false" outlineLevel="0" collapsed="false">
      <c r="A22" s="11" t="s">
        <v>107</v>
      </c>
      <c r="B22" s="12" t="n">
        <v>46240</v>
      </c>
      <c r="C22" s="11" t="s">
        <v>78</v>
      </c>
      <c r="D22" s="11" t="s">
        <v>88</v>
      </c>
      <c r="E22" s="11" t="s">
        <v>80</v>
      </c>
      <c r="F22" s="11"/>
      <c r="G22" s="13" t="n">
        <v>18000</v>
      </c>
      <c r="H22" s="13" t="n">
        <v>32000</v>
      </c>
      <c r="I22" s="14"/>
      <c r="J22" s="11" t="s">
        <v>47</v>
      </c>
      <c r="K22" s="11"/>
      <c r="L22" s="11" t="s">
        <v>58</v>
      </c>
      <c r="M22" s="11" t="s">
        <v>43</v>
      </c>
      <c r="N22" s="15" t="n">
        <f aca="false">IFERROR(H22-G22,"")</f>
        <v>14000</v>
      </c>
      <c r="O22" s="16" t="n">
        <f aca="false">IFERROR(N22/H22,"")</f>
        <v>0.4375</v>
      </c>
      <c r="P22" s="15" t="n">
        <f aca="false">IF($A22="","",IF(COUNTIF($A$3:$A22,$A22)=1,SUMIF(cobranza!$B$3:$B$1000,$A22,cobranza!$D$3:$D$1000),"↑"))</f>
        <v>32000</v>
      </c>
      <c r="Q22" s="15" t="n">
        <f aca="false">IF($A22="","",IF(COUNTIF($A$3:$A22,$A22)=1,SUMIFS($H$3:$H$1000,$A$3:$A$1000,$A22,$C$3:$C$1000,"&lt;&gt;Demo")-P22,"↑"))</f>
        <v>0</v>
      </c>
      <c r="R22" s="17"/>
    </row>
    <row r="23" customFormat="false" ht="15" hidden="false" customHeight="false" outlineLevel="0" collapsed="false">
      <c r="A23" s="11" t="s">
        <v>108</v>
      </c>
      <c r="B23" s="12" t="n">
        <v>46247</v>
      </c>
      <c r="C23" s="11" t="s">
        <v>32</v>
      </c>
      <c r="D23" s="11" t="s">
        <v>79</v>
      </c>
      <c r="E23" s="11" t="s">
        <v>61</v>
      </c>
      <c r="F23" s="11" t="s">
        <v>109</v>
      </c>
      <c r="G23" s="13" t="n">
        <v>128000</v>
      </c>
      <c r="H23" s="13" t="n">
        <v>178000</v>
      </c>
      <c r="I23" s="14"/>
      <c r="J23" s="11" t="s">
        <v>47</v>
      </c>
      <c r="K23" s="11" t="n">
        <v>30</v>
      </c>
      <c r="L23" s="11" t="s">
        <v>37</v>
      </c>
      <c r="M23" s="11" t="s">
        <v>48</v>
      </c>
      <c r="N23" s="15" t="n">
        <f aca="false">IFERROR(H23-G23,"")</f>
        <v>50000</v>
      </c>
      <c r="O23" s="16" t="n">
        <f aca="false">IFERROR(N23/H23,"")</f>
        <v>0.280898876404494</v>
      </c>
      <c r="P23" s="15" t="n">
        <f aca="false">IF($A23="","",IF(COUNTIF($A$3:$A23,$A23)=1,SUMIF(cobranza!$B$3:$B$1000,$A23,cobranza!$D$3:$D$1000),"↑"))</f>
        <v>80000</v>
      </c>
      <c r="Q23" s="15" t="n">
        <f aca="false">IF($A23="","",IF(COUNTIF($A$3:$A23,$A23)=1,SUMIFS($H$3:$H$1000,$A$3:$A$1000,$A23,$C$3:$C$1000,"&lt;&gt;Demo")-P23,"↑"))</f>
        <v>98000</v>
      </c>
      <c r="R23" s="17"/>
    </row>
    <row r="24" customFormat="false" ht="15" hidden="false" customHeight="false" outlineLevel="0" collapsed="false">
      <c r="A24" s="11" t="s">
        <v>110</v>
      </c>
      <c r="B24" s="12" t="n">
        <v>46258</v>
      </c>
      <c r="C24" s="11" t="s">
        <v>91</v>
      </c>
      <c r="D24" s="11" t="s">
        <v>69</v>
      </c>
      <c r="E24" s="11" t="s">
        <v>111</v>
      </c>
      <c r="F24" s="11" t="s">
        <v>112</v>
      </c>
      <c r="G24" s="13" t="n">
        <v>1900</v>
      </c>
      <c r="H24" s="13" t="n">
        <v>3600</v>
      </c>
      <c r="I24" s="14"/>
      <c r="J24" s="11" t="s">
        <v>47</v>
      </c>
      <c r="K24" s="11"/>
      <c r="L24" s="11" t="s">
        <v>58</v>
      </c>
      <c r="M24" s="11" t="s">
        <v>48</v>
      </c>
      <c r="N24" s="15" t="n">
        <f aca="false">IFERROR(H24-G24,"")</f>
        <v>1700</v>
      </c>
      <c r="O24" s="16" t="n">
        <f aca="false">IFERROR(N24/H24,"")</f>
        <v>0.472222222222222</v>
      </c>
      <c r="P24" s="15" t="n">
        <f aca="false">IF($A24="","",IF(COUNTIF($A$3:$A24,$A24)=1,SUMIF(cobranza!$B$3:$B$1000,$A24,cobranza!$D$3:$D$1000),"↑"))</f>
        <v>3600</v>
      </c>
      <c r="Q24" s="15" t="n">
        <f aca="false">IF($A24="","",IF(COUNTIF($A$3:$A24,$A24)=1,SUMIFS($H$3:$H$1000,$A$3:$A$1000,$A24,$C$3:$C$1000,"&lt;&gt;Demo")-P24,"↑"))</f>
        <v>0</v>
      </c>
      <c r="R24" s="17"/>
    </row>
    <row r="25" customFormat="false" ht="15" hidden="false" customHeight="false" outlineLevel="0" collapsed="false">
      <c r="A25" s="11" t="s">
        <v>113</v>
      </c>
      <c r="B25" s="12" t="n">
        <v>46266</v>
      </c>
      <c r="C25" s="11" t="s">
        <v>32</v>
      </c>
      <c r="D25" s="11" t="s">
        <v>82</v>
      </c>
      <c r="E25" s="11" t="s">
        <v>34</v>
      </c>
      <c r="F25" s="11" t="s">
        <v>114</v>
      </c>
      <c r="G25" s="13" t="n">
        <v>190000</v>
      </c>
      <c r="H25" s="13" t="n">
        <v>265000</v>
      </c>
      <c r="I25" s="14"/>
      <c r="J25" s="11" t="s">
        <v>47</v>
      </c>
      <c r="K25" s="11"/>
      <c r="L25" s="11" t="s">
        <v>37</v>
      </c>
      <c r="M25" s="11" t="s">
        <v>43</v>
      </c>
      <c r="N25" s="15" t="n">
        <f aca="false">IFERROR(H25-G25,"")</f>
        <v>75000</v>
      </c>
      <c r="O25" s="16" t="n">
        <f aca="false">IFERROR(N25/H25,"")</f>
        <v>0.283018867924528</v>
      </c>
      <c r="P25" s="15" t="n">
        <f aca="false">IF($A25="","",IF(COUNTIF($A$3:$A25,$A25)=1,SUMIF(cobranza!$B$3:$B$1000,$A25,cobranza!$D$3:$D$1000),"↑"))</f>
        <v>100000</v>
      </c>
      <c r="Q25" s="15" t="n">
        <f aca="false">IF($A25="","",IF(COUNTIF($A$3:$A25,$A25)=1,SUMIFS($H$3:$H$1000,$A$3:$A$1000,$A25,$C$3:$C$1000,"&lt;&gt;Demo")-P25,"↑"))</f>
        <v>165000</v>
      </c>
      <c r="R25" s="17"/>
    </row>
    <row r="26" customFormat="false" ht="15" hidden="false" customHeight="false" outlineLevel="0" collapsed="false">
      <c r="A26" s="11" t="s">
        <v>115</v>
      </c>
      <c r="B26" s="12" t="n">
        <v>46270</v>
      </c>
      <c r="C26" s="11" t="s">
        <v>54</v>
      </c>
      <c r="D26" s="11" t="s">
        <v>95</v>
      </c>
      <c r="E26" s="11" t="s">
        <v>98</v>
      </c>
      <c r="F26" s="11" t="s">
        <v>116</v>
      </c>
      <c r="G26" s="13" t="n">
        <v>6800</v>
      </c>
      <c r="H26" s="13" t="n">
        <v>11500</v>
      </c>
      <c r="I26" s="14"/>
      <c r="J26" s="11" t="s">
        <v>47</v>
      </c>
      <c r="K26" s="11"/>
      <c r="L26" s="11" t="s">
        <v>58</v>
      </c>
      <c r="M26" s="11" t="s">
        <v>43</v>
      </c>
      <c r="N26" s="15" t="n">
        <f aca="false">IFERROR(H26-G26,"")</f>
        <v>4700</v>
      </c>
      <c r="O26" s="16" t="n">
        <f aca="false">IFERROR(N26/H26,"")</f>
        <v>0.408695652173913</v>
      </c>
      <c r="P26" s="15" t="n">
        <f aca="false">IF($A26="","",IF(COUNTIF($A$3:$A26,$A26)=1,SUMIF(cobranza!$B$3:$B$1000,$A26,cobranza!$D$3:$D$1000),"↑"))</f>
        <v>11500</v>
      </c>
      <c r="Q26" s="15" t="n">
        <f aca="false">IF($A26="","",IF(COUNTIF($A$3:$A26,$A26)=1,SUMIFS($H$3:$H$1000,$A$3:$A$1000,$A26,$C$3:$C$1000,"&lt;&gt;Demo")-P26,"↑"))</f>
        <v>0</v>
      </c>
      <c r="R26" s="17"/>
    </row>
    <row r="27" customFormat="false" ht="15" hidden="false" customHeight="false" outlineLevel="0" collapsed="false">
      <c r="A27" s="11" t="s">
        <v>117</v>
      </c>
      <c r="B27" s="12"/>
      <c r="C27" s="11" t="s">
        <v>91</v>
      </c>
      <c r="D27" s="11" t="s">
        <v>72</v>
      </c>
      <c r="E27" s="11" t="s">
        <v>111</v>
      </c>
      <c r="F27" s="11" t="s">
        <v>118</v>
      </c>
      <c r="G27" s="13" t="n">
        <v>1900</v>
      </c>
      <c r="H27" s="13" t="n">
        <v>3600</v>
      </c>
      <c r="I27" s="14"/>
      <c r="J27" s="11" t="s">
        <v>47</v>
      </c>
      <c r="K27" s="11"/>
      <c r="L27" s="11" t="s">
        <v>58</v>
      </c>
      <c r="M27" s="11" t="s">
        <v>48</v>
      </c>
      <c r="N27" s="15" t="n">
        <f aca="false">IFERROR(H27-G27,"")</f>
        <v>1700</v>
      </c>
      <c r="O27" s="16" t="n">
        <f aca="false">IFERROR(N27/H27,"")</f>
        <v>0.472222222222222</v>
      </c>
      <c r="P27" s="15" t="n">
        <f aca="false">IF($A27="","",IF(COUNTIF($A$3:$A27,$A27)=1,SUMIF(cobranza!$B$3:$B$1000,$A27,cobranza!$D$3:$D$1000),"↑"))</f>
        <v>3600</v>
      </c>
      <c r="Q27" s="15" t="n">
        <f aca="false">IF($A27="","",IF(COUNTIF($A$3:$A27,$A27)=1,SUMIFS($H$3:$H$1000,$A$3:$A$1000,$A27,$C$3:$C$1000,"&lt;&gt;Demo")-P27,"↑"))</f>
        <v>0</v>
      </c>
      <c r="R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5" t="n">
        <f aca="false">IFERROR(H28-G28,"")</f>
        <v>0</v>
      </c>
      <c r="O28" s="16" t="str">
        <f aca="false">IFERROR(N28/H28,"")</f>
        <v/>
      </c>
      <c r="P28" s="15" t="str">
        <f aca="false">IF($A28="","",IF(COUNTIF($A$3:$A28,$A28)=1,SUMIF(cobranza!$B$3:$B$1000,$A28,cobranza!$D$3:$D$1000),"↑"))</f>
        <v/>
      </c>
      <c r="Q28" s="15" t="str">
        <f aca="false">IF($A28="","",IF(COUNTIF($A$3:$A28,$A28)=1,SUMIFS($H$3:$H$1000,$A$3:$A$1000,$A28,$C$3:$C$1000,"&lt;&gt;Demo")-P28,"↑"))</f>
        <v/>
      </c>
      <c r="R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5" t="n">
        <f aca="false">IFERROR(H29-G29,"")</f>
        <v>0</v>
      </c>
      <c r="O29" s="16" t="str">
        <f aca="false">IFERROR(N29/H29,"")</f>
        <v/>
      </c>
      <c r="P29" s="15" t="str">
        <f aca="false">IF($A29="","",IF(COUNTIF($A$3:$A29,$A29)=1,SUMIF(cobranza!$B$3:$B$1000,$A29,cobranza!$D$3:$D$1000),"↑"))</f>
        <v/>
      </c>
      <c r="Q29" s="15" t="str">
        <f aca="false">IF($A29="","",IF(COUNTIF($A$3:$A29,$A29)=1,SUMIFS($H$3:$H$1000,$A$3:$A$1000,$A29,$C$3:$C$1000,"&lt;&gt;Demo")-P29,"↑"))</f>
        <v/>
      </c>
      <c r="R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5" t="n">
        <f aca="false">IFERROR(H30-G30,"")</f>
        <v>0</v>
      </c>
      <c r="O30" s="16" t="str">
        <f aca="false">IFERROR(N30/H30,"")</f>
        <v/>
      </c>
      <c r="P30" s="15" t="str">
        <f aca="false">IF($A30="","",IF(COUNTIF($A$3:$A30,$A30)=1,SUMIF(cobranza!$B$3:$B$1000,$A30,cobranza!$D$3:$D$1000),"↑"))</f>
        <v/>
      </c>
      <c r="Q30" s="15" t="str">
        <f aca="false">IF($A30="","",IF(COUNTIF($A$3:$A30,$A30)=1,SUMIFS($H$3:$H$1000,$A$3:$A$1000,$A30,$C$3:$C$1000,"&lt;&gt;Demo")-P30,"↑"))</f>
        <v/>
      </c>
      <c r="R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5" t="n">
        <f aca="false">IFERROR(H31-G31,"")</f>
        <v>0</v>
      </c>
      <c r="O31" s="16" t="str">
        <f aca="false">IFERROR(N31/H31,"")</f>
        <v/>
      </c>
      <c r="P31" s="15" t="str">
        <f aca="false">IF($A31="","",IF(COUNTIF($A$3:$A31,$A31)=1,SUMIF(cobranza!$B$3:$B$1000,$A31,cobranza!$D$3:$D$1000),"↑"))</f>
        <v/>
      </c>
      <c r="Q31" s="15" t="str">
        <f aca="false">IF($A31="","",IF(COUNTIF($A$3:$A31,$A31)=1,SUMIFS($H$3:$H$1000,$A$3:$A$1000,$A31,$C$3:$C$1000,"&lt;&gt;Demo")-P31,"↑"))</f>
        <v/>
      </c>
      <c r="R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5" t="n">
        <f aca="false">IFERROR(H32-G32,"")</f>
        <v>0</v>
      </c>
      <c r="O32" s="16" t="str">
        <f aca="false">IFERROR(N32/H32,"")</f>
        <v/>
      </c>
      <c r="P32" s="15" t="str">
        <f aca="false">IF($A32="","",IF(COUNTIF($A$3:$A32,$A32)=1,SUMIF(cobranza!$B$3:$B$1000,$A32,cobranza!$D$3:$D$1000),"↑"))</f>
        <v/>
      </c>
      <c r="Q32" s="15" t="str">
        <f aca="false">IF($A32="","",IF(COUNTIF($A$3:$A32,$A32)=1,SUMIFS($H$3:$H$1000,$A$3:$A$1000,$A32,$C$3:$C$1000,"&lt;&gt;Demo")-P32,"↑"))</f>
        <v/>
      </c>
      <c r="R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5" t="n">
        <f aca="false">IFERROR(H33-G33,"")</f>
        <v>0</v>
      </c>
      <c r="O33" s="16" t="str">
        <f aca="false">IFERROR(N33/H33,"")</f>
        <v/>
      </c>
      <c r="P33" s="15" t="str">
        <f aca="false">IF($A33="","",IF(COUNTIF($A$3:$A33,$A33)=1,SUMIF(cobranza!$B$3:$B$1000,$A33,cobranza!$D$3:$D$1000),"↑"))</f>
        <v/>
      </c>
      <c r="Q33" s="15" t="str">
        <f aca="false">IF($A33="","",IF(COUNTIF($A$3:$A33,$A33)=1,SUMIFS($H$3:$H$1000,$A$3:$A$1000,$A33,$C$3:$C$1000,"&lt;&gt;Demo")-P33,"↑"))</f>
        <v/>
      </c>
      <c r="R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5" t="n">
        <f aca="false">IFERROR(H34-G34,"")</f>
        <v>0</v>
      </c>
      <c r="O34" s="16" t="str">
        <f aca="false">IFERROR(N34/H34,"")</f>
        <v/>
      </c>
      <c r="P34" s="15" t="str">
        <f aca="false">IF($A34="","",IF(COUNTIF($A$3:$A34,$A34)=1,SUMIF(cobranza!$B$3:$B$1000,$A34,cobranza!$D$3:$D$1000),"↑"))</f>
        <v/>
      </c>
      <c r="Q34" s="15" t="str">
        <f aca="false">IF($A34="","",IF(COUNTIF($A$3:$A34,$A34)=1,SUMIFS($H$3:$H$1000,$A$3:$A$1000,$A34,$C$3:$C$1000,"&lt;&gt;Demo")-P34,"↑"))</f>
        <v/>
      </c>
      <c r="R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5" t="n">
        <f aca="false">IFERROR(H35-G35,"")</f>
        <v>0</v>
      </c>
      <c r="O35" s="16" t="str">
        <f aca="false">IFERROR(N35/H35,"")</f>
        <v/>
      </c>
      <c r="P35" s="15" t="str">
        <f aca="false">IF($A35="","",IF(COUNTIF($A$3:$A35,$A35)=1,SUMIF(cobranza!$B$3:$B$1000,$A35,cobranza!$D$3:$D$1000),"↑"))</f>
        <v/>
      </c>
      <c r="Q35" s="15" t="str">
        <f aca="false">IF($A35="","",IF(COUNTIF($A$3:$A35,$A35)=1,SUMIFS($H$3:$H$1000,$A$3:$A$1000,$A35,$C$3:$C$1000,"&lt;&gt;Demo")-P35,"↑"))</f>
        <v/>
      </c>
      <c r="R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5" t="n">
        <f aca="false">IFERROR(H36-G36,"")</f>
        <v>0</v>
      </c>
      <c r="O36" s="16" t="str">
        <f aca="false">IFERROR(N36/H36,"")</f>
        <v/>
      </c>
      <c r="P36" s="15" t="str">
        <f aca="false">IF($A36="","",IF(COUNTIF($A$3:$A36,$A36)=1,SUMIF(cobranza!$B$3:$B$1000,$A36,cobranza!$D$3:$D$1000),"↑"))</f>
        <v/>
      </c>
      <c r="Q36" s="15" t="str">
        <f aca="false">IF($A36="","",IF(COUNTIF($A$3:$A36,$A36)=1,SUMIFS($H$3:$H$1000,$A$3:$A$1000,$A36,$C$3:$C$1000,"&lt;&gt;Demo")-P36,"↑"))</f>
        <v/>
      </c>
      <c r="R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5" t="n">
        <f aca="false">IFERROR(H37-G37,"")</f>
        <v>0</v>
      </c>
      <c r="O37" s="16" t="str">
        <f aca="false">IFERROR(N37/H37,"")</f>
        <v/>
      </c>
      <c r="P37" s="15" t="str">
        <f aca="false">IF($A37="","",IF(COUNTIF($A$3:$A37,$A37)=1,SUMIF(cobranza!$B$3:$B$1000,$A37,cobranza!$D$3:$D$1000),"↑"))</f>
        <v/>
      </c>
      <c r="Q37" s="15" t="str">
        <f aca="false">IF($A37="","",IF(COUNTIF($A$3:$A37,$A37)=1,SUMIFS($H$3:$H$1000,$A$3:$A$1000,$A37,$C$3:$C$1000,"&lt;&gt;Demo")-P37,"↑"))</f>
        <v/>
      </c>
      <c r="R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5" t="n">
        <f aca="false">IFERROR(H38-G38,"")</f>
        <v>0</v>
      </c>
      <c r="O38" s="16" t="str">
        <f aca="false">IFERROR(N38/H38,"")</f>
        <v/>
      </c>
      <c r="P38" s="15" t="str">
        <f aca="false">IF($A38="","",IF(COUNTIF($A$3:$A38,$A38)=1,SUMIF(cobranza!$B$3:$B$1000,$A38,cobranza!$D$3:$D$1000),"↑"))</f>
        <v/>
      </c>
      <c r="Q38" s="15" t="str">
        <f aca="false">IF($A38="","",IF(COUNTIF($A$3:$A38,$A38)=1,SUMIFS($H$3:$H$1000,$A$3:$A$1000,$A38,$C$3:$C$1000,"&lt;&gt;Demo")-P38,"↑"))</f>
        <v/>
      </c>
      <c r="R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5" t="n">
        <f aca="false">IFERROR(H39-G39,"")</f>
        <v>0</v>
      </c>
      <c r="O39" s="16" t="str">
        <f aca="false">IFERROR(N39/H39,"")</f>
        <v/>
      </c>
      <c r="P39" s="15" t="str">
        <f aca="false">IF($A39="","",IF(COUNTIF($A$3:$A39,$A39)=1,SUMIF(cobranza!$B$3:$B$1000,$A39,cobranza!$D$3:$D$1000),"↑"))</f>
        <v/>
      </c>
      <c r="Q39" s="15" t="str">
        <f aca="false">IF($A39="","",IF(COUNTIF($A$3:$A39,$A39)=1,SUMIFS($H$3:$H$1000,$A$3:$A$1000,$A39,$C$3:$C$1000,"&lt;&gt;Demo")-P39,"↑"))</f>
        <v/>
      </c>
      <c r="R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5" t="n">
        <f aca="false">IFERROR(H40-G40,"")</f>
        <v>0</v>
      </c>
      <c r="O40" s="16" t="str">
        <f aca="false">IFERROR(N40/H40,"")</f>
        <v/>
      </c>
      <c r="P40" s="15" t="str">
        <f aca="false">IF($A40="","",IF(COUNTIF($A$3:$A40,$A40)=1,SUMIF(cobranza!$B$3:$B$1000,$A40,cobranza!$D$3:$D$1000),"↑"))</f>
        <v/>
      </c>
      <c r="Q40" s="15" t="str">
        <f aca="false">IF($A40="","",IF(COUNTIF($A$3:$A40,$A40)=1,SUMIFS($H$3:$H$1000,$A$3:$A$1000,$A40,$C$3:$C$1000,"&lt;&gt;Demo")-P40,"↑"))</f>
        <v/>
      </c>
      <c r="R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5" t="n">
        <f aca="false">IFERROR(H41-G41,"")</f>
        <v>0</v>
      </c>
      <c r="O41" s="16" t="str">
        <f aca="false">IFERROR(N41/H41,"")</f>
        <v/>
      </c>
      <c r="P41" s="15" t="str">
        <f aca="false">IF($A41="","",IF(COUNTIF($A$3:$A41,$A41)=1,SUMIF(cobranza!$B$3:$B$1000,$A41,cobranza!$D$3:$D$1000),"↑"))</f>
        <v/>
      </c>
      <c r="Q41" s="15" t="str">
        <f aca="false">IF($A41="","",IF(COUNTIF($A$3:$A41,$A41)=1,SUMIFS($H$3:$H$1000,$A$3:$A$1000,$A41,$C$3:$C$1000,"&lt;&gt;Demo")-P41,"↑"))</f>
        <v/>
      </c>
      <c r="R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5" t="n">
        <f aca="false">IFERROR(H42-G42,"")</f>
        <v>0</v>
      </c>
      <c r="O42" s="16" t="str">
        <f aca="false">IFERROR(N42/H42,"")</f>
        <v/>
      </c>
      <c r="P42" s="15" t="str">
        <f aca="false">IF($A42="","",IF(COUNTIF($A$3:$A42,$A42)=1,SUMIF(cobranza!$B$3:$B$1000,$A42,cobranza!$D$3:$D$1000),"↑"))</f>
        <v/>
      </c>
      <c r="Q42" s="15" t="str">
        <f aca="false">IF($A42="","",IF(COUNTIF($A$3:$A42,$A42)=1,SUMIFS($H$3:$H$1000,$A$3:$A$1000,$A42,$C$3:$C$1000,"&lt;&gt;Demo")-P42,"↑"))</f>
        <v/>
      </c>
      <c r="R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5" t="n">
        <f aca="false">IFERROR(H43-G43,"")</f>
        <v>0</v>
      </c>
      <c r="O43" s="16" t="str">
        <f aca="false">IFERROR(N43/H43,"")</f>
        <v/>
      </c>
      <c r="P43" s="15" t="str">
        <f aca="false">IF($A43="","",IF(COUNTIF($A$3:$A43,$A43)=1,SUMIF(cobranza!$B$3:$B$1000,$A43,cobranza!$D$3:$D$1000),"↑"))</f>
        <v/>
      </c>
      <c r="Q43" s="15" t="str">
        <f aca="false">IF($A43="","",IF(COUNTIF($A$3:$A43,$A43)=1,SUMIFS($H$3:$H$1000,$A$3:$A$1000,$A43,$C$3:$C$1000,"&lt;&gt;Demo")-P43,"↑"))</f>
        <v/>
      </c>
      <c r="R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5" t="n">
        <f aca="false">IFERROR(H44-G44,"")</f>
        <v>0</v>
      </c>
      <c r="O44" s="16" t="str">
        <f aca="false">IFERROR(N44/H44,"")</f>
        <v/>
      </c>
      <c r="P44" s="15" t="str">
        <f aca="false">IF($A44="","",IF(COUNTIF($A$3:$A44,$A44)=1,SUMIF(cobranza!$B$3:$B$1000,$A44,cobranza!$D$3:$D$1000),"↑"))</f>
        <v/>
      </c>
      <c r="Q44" s="15" t="str">
        <f aca="false">IF($A44="","",IF(COUNTIF($A$3:$A44,$A44)=1,SUMIFS($H$3:$H$1000,$A$3:$A$1000,$A44,$C$3:$C$1000,"&lt;&gt;Demo")-P44,"↑"))</f>
        <v/>
      </c>
      <c r="R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5" t="n">
        <f aca="false">IFERROR(H45-G45,"")</f>
        <v>0</v>
      </c>
      <c r="O45" s="16" t="str">
        <f aca="false">IFERROR(N45/H45,"")</f>
        <v/>
      </c>
      <c r="P45" s="15" t="str">
        <f aca="false">IF($A45="","",IF(COUNTIF($A$3:$A45,$A45)=1,SUMIF(cobranza!$B$3:$B$1000,$A45,cobranza!$D$3:$D$1000),"↑"))</f>
        <v/>
      </c>
      <c r="Q45" s="15" t="str">
        <f aca="false">IF($A45="","",IF(COUNTIF($A$3:$A45,$A45)=1,SUMIFS($H$3:$H$1000,$A$3:$A$1000,$A45,$C$3:$C$1000,"&lt;&gt;Demo")-P45,"↑"))</f>
        <v/>
      </c>
      <c r="R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5" t="n">
        <f aca="false">IFERROR(H46-G46,"")</f>
        <v>0</v>
      </c>
      <c r="O46" s="16" t="str">
        <f aca="false">IFERROR(N46/H46,"")</f>
        <v/>
      </c>
      <c r="P46" s="15" t="str">
        <f aca="false">IF($A46="","",IF(COUNTIF($A$3:$A46,$A46)=1,SUMIF(cobranza!$B$3:$B$1000,$A46,cobranza!$D$3:$D$1000),"↑"))</f>
        <v/>
      </c>
      <c r="Q46" s="15" t="str">
        <f aca="false">IF($A46="","",IF(COUNTIF($A$3:$A46,$A46)=1,SUMIFS($H$3:$H$1000,$A$3:$A$1000,$A46,$C$3:$C$1000,"&lt;&gt;Demo")-P46,"↑"))</f>
        <v/>
      </c>
      <c r="R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5" t="n">
        <f aca="false">IFERROR(H47-G47,"")</f>
        <v>0</v>
      </c>
      <c r="O47" s="16" t="str">
        <f aca="false">IFERROR(N47/H47,"")</f>
        <v/>
      </c>
      <c r="P47" s="15" t="str">
        <f aca="false">IF($A47="","",IF(COUNTIF($A$3:$A47,$A47)=1,SUMIF(cobranza!$B$3:$B$1000,$A47,cobranza!$D$3:$D$1000),"↑"))</f>
        <v/>
      </c>
      <c r="Q47" s="15" t="str">
        <f aca="false">IF($A47="","",IF(COUNTIF($A$3:$A47,$A47)=1,SUMIFS($H$3:$H$1000,$A$3:$A$1000,$A47,$C$3:$C$1000,"&lt;&gt;Demo")-P47,"↑"))</f>
        <v/>
      </c>
      <c r="R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5" t="n">
        <f aca="false">IFERROR(H48-G48,"")</f>
        <v>0</v>
      </c>
      <c r="O48" s="16" t="str">
        <f aca="false">IFERROR(N48/H48,"")</f>
        <v/>
      </c>
      <c r="P48" s="15" t="str">
        <f aca="false">IF($A48="","",IF(COUNTIF($A$3:$A48,$A48)=1,SUMIF(cobranza!$B$3:$B$1000,$A48,cobranza!$D$3:$D$1000),"↑"))</f>
        <v/>
      </c>
      <c r="Q48" s="15" t="str">
        <f aca="false">IF($A48="","",IF(COUNTIF($A$3:$A48,$A48)=1,SUMIFS($H$3:$H$1000,$A$3:$A$1000,$A48,$C$3:$C$1000,"&lt;&gt;Demo")-P48,"↑"))</f>
        <v/>
      </c>
      <c r="R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5" t="n">
        <f aca="false">IFERROR(H49-G49,"")</f>
        <v>0</v>
      </c>
      <c r="O49" s="16" t="str">
        <f aca="false">IFERROR(N49/H49,"")</f>
        <v/>
      </c>
      <c r="P49" s="15" t="str">
        <f aca="false">IF($A49="","",IF(COUNTIF($A$3:$A49,$A49)=1,SUMIF(cobranza!$B$3:$B$1000,$A49,cobranza!$D$3:$D$1000),"↑"))</f>
        <v/>
      </c>
      <c r="Q49" s="15" t="str">
        <f aca="false">IF($A49="","",IF(COUNTIF($A$3:$A49,$A49)=1,SUMIFS($H$3:$H$1000,$A$3:$A$1000,$A49,$C$3:$C$1000,"&lt;&gt;Demo")-P49,"↑"))</f>
        <v/>
      </c>
      <c r="R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5" t="n">
        <f aca="false">IFERROR(H50-G50,"")</f>
        <v>0</v>
      </c>
      <c r="O50" s="16" t="str">
        <f aca="false">IFERROR(N50/H50,"")</f>
        <v/>
      </c>
      <c r="P50" s="15" t="str">
        <f aca="false">IF($A50="","",IF(COUNTIF($A$3:$A50,$A50)=1,SUMIF(cobranza!$B$3:$B$1000,$A50,cobranza!$D$3:$D$1000),"↑"))</f>
        <v/>
      </c>
      <c r="Q50" s="15" t="str">
        <f aca="false">IF($A50="","",IF(COUNTIF($A$3:$A50,$A50)=1,SUMIFS($H$3:$H$1000,$A$3:$A$1000,$A50,$C$3:$C$1000,"&lt;&gt;Demo")-P50,"↑"))</f>
        <v/>
      </c>
      <c r="R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 t="n">
        <f aca="false">IFERROR(H51-G51,"")</f>
        <v>0</v>
      </c>
      <c r="O51" s="16" t="str">
        <f aca="false">IFERROR(N51/H51,"")</f>
        <v/>
      </c>
      <c r="P51" s="15" t="str">
        <f aca="false">IF($A51="","",IF(COUNTIF($A$3:$A51,$A51)=1,SUMIF(cobranza!$B$3:$B$1000,$A51,cobranza!$D$3:$D$1000),"↑"))</f>
        <v/>
      </c>
      <c r="Q51" s="15" t="str">
        <f aca="false">IF($A51="","",IF(COUNTIF($A$3:$A51,$A51)=1,SUMIFS($H$3:$H$1000,$A$3:$A$1000,$A51,$C$3:$C$1000,"&lt;&gt;Demo")-P51,"↑"))</f>
        <v/>
      </c>
      <c r="R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 t="n">
        <f aca="false">IFERROR(H52-G52,"")</f>
        <v>0</v>
      </c>
      <c r="O52" s="16" t="str">
        <f aca="false">IFERROR(N52/H52,"")</f>
        <v/>
      </c>
      <c r="P52" s="15" t="str">
        <f aca="false">IF($A52="","",IF(COUNTIF($A$3:$A52,$A52)=1,SUMIF(cobranza!$B$3:$B$1000,$A52,cobranza!$D$3:$D$1000),"↑"))</f>
        <v/>
      </c>
      <c r="Q52" s="15" t="str">
        <f aca="false">IF($A52="","",IF(COUNTIF($A$3:$A52,$A52)=1,SUMIFS($H$3:$H$1000,$A$3:$A$1000,$A52,$C$3:$C$1000,"&lt;&gt;Demo")-P52,"↑"))</f>
        <v/>
      </c>
      <c r="R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5" t="n">
        <f aca="false">IFERROR(H53-G53,"")</f>
        <v>0</v>
      </c>
      <c r="O53" s="16" t="str">
        <f aca="false">IFERROR(N53/H53,"")</f>
        <v/>
      </c>
      <c r="P53" s="15" t="str">
        <f aca="false">IF($A53="","",IF(COUNTIF($A$3:$A53,$A53)=1,SUMIF(cobranza!$B$3:$B$1000,$A53,cobranza!$D$3:$D$1000),"↑"))</f>
        <v/>
      </c>
      <c r="Q53" s="15" t="str">
        <f aca="false">IF($A53="","",IF(COUNTIF($A$3:$A53,$A53)=1,SUMIFS($H$3:$H$1000,$A$3:$A$1000,$A53,$C$3:$C$1000,"&lt;&gt;Demo")-P53,"↑"))</f>
        <v/>
      </c>
      <c r="R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5" t="n">
        <f aca="false">IFERROR(H54-G54,"")</f>
        <v>0</v>
      </c>
      <c r="O54" s="16" t="str">
        <f aca="false">IFERROR(N54/H54,"")</f>
        <v/>
      </c>
      <c r="P54" s="15" t="str">
        <f aca="false">IF($A54="","",IF(COUNTIF($A$3:$A54,$A54)=1,SUMIF(cobranza!$B$3:$B$1000,$A54,cobranza!$D$3:$D$1000),"↑"))</f>
        <v/>
      </c>
      <c r="Q54" s="15" t="str">
        <f aca="false">IF($A54="","",IF(COUNTIF($A$3:$A54,$A54)=1,SUMIFS($H$3:$H$1000,$A$3:$A$1000,$A54,$C$3:$C$1000,"&lt;&gt;Demo")-P54,"↑"))</f>
        <v/>
      </c>
      <c r="R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5" t="n">
        <f aca="false">IFERROR(H55-G55,"")</f>
        <v>0</v>
      </c>
      <c r="O55" s="16" t="str">
        <f aca="false">IFERROR(N55/H55,"")</f>
        <v/>
      </c>
      <c r="P55" s="15" t="str">
        <f aca="false">IF($A55="","",IF(COUNTIF($A$3:$A55,$A55)=1,SUMIF(cobranza!$B$3:$B$1000,$A55,cobranza!$D$3:$D$1000),"↑"))</f>
        <v/>
      </c>
      <c r="Q55" s="15" t="str">
        <f aca="false">IF($A55="","",IF(COUNTIF($A$3:$A55,$A55)=1,SUMIFS($H$3:$H$1000,$A$3:$A$1000,$A55,$C$3:$C$1000,"&lt;&gt;Demo")-P55,"↑"))</f>
        <v/>
      </c>
      <c r="R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5" t="n">
        <f aca="false">IFERROR(H56-G56,"")</f>
        <v>0</v>
      </c>
      <c r="O56" s="16" t="str">
        <f aca="false">IFERROR(N56/H56,"")</f>
        <v/>
      </c>
      <c r="P56" s="15" t="str">
        <f aca="false">IF($A56="","",IF(COUNTIF($A$3:$A56,$A56)=1,SUMIF(cobranza!$B$3:$B$1000,$A56,cobranza!$D$3:$D$1000),"↑"))</f>
        <v/>
      </c>
      <c r="Q56" s="15" t="str">
        <f aca="false">IF($A56="","",IF(COUNTIF($A$3:$A56,$A56)=1,SUMIFS($H$3:$H$1000,$A$3:$A$1000,$A56,$C$3:$C$1000,"&lt;&gt;Demo")-P56,"↑"))</f>
        <v/>
      </c>
      <c r="R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5" t="n">
        <f aca="false">IFERROR(H57-G57,"")</f>
        <v>0</v>
      </c>
      <c r="O57" s="16" t="str">
        <f aca="false">IFERROR(N57/H57,"")</f>
        <v/>
      </c>
      <c r="P57" s="15" t="str">
        <f aca="false">IF($A57="","",IF(COUNTIF($A$3:$A57,$A57)=1,SUMIF(cobranza!$B$3:$B$1000,$A57,cobranza!$D$3:$D$1000),"↑"))</f>
        <v/>
      </c>
      <c r="Q57" s="15" t="str">
        <f aca="false">IF($A57="","",IF(COUNTIF($A$3:$A57,$A57)=1,SUMIFS($H$3:$H$1000,$A$3:$A$1000,$A57,$C$3:$C$1000,"&lt;&gt;Demo")-P57,"↑"))</f>
        <v/>
      </c>
      <c r="R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5" t="n">
        <f aca="false">IFERROR(H58-G58,"")</f>
        <v>0</v>
      </c>
      <c r="O58" s="16" t="str">
        <f aca="false">IFERROR(N58/H58,"")</f>
        <v/>
      </c>
      <c r="P58" s="15" t="str">
        <f aca="false">IF($A58="","",IF(COUNTIF($A$3:$A58,$A58)=1,SUMIF(cobranza!$B$3:$B$1000,$A58,cobranza!$D$3:$D$1000),"↑"))</f>
        <v/>
      </c>
      <c r="Q58" s="15" t="str">
        <f aca="false">IF($A58="","",IF(COUNTIF($A$3:$A58,$A58)=1,SUMIFS($H$3:$H$1000,$A$3:$A$1000,$A58,$C$3:$C$1000,"&lt;&gt;Demo")-P58,"↑"))</f>
        <v/>
      </c>
      <c r="R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5" t="n">
        <f aca="false">IFERROR(H59-G59,"")</f>
        <v>0</v>
      </c>
      <c r="O59" s="16" t="str">
        <f aca="false">IFERROR(N59/H59,"")</f>
        <v/>
      </c>
      <c r="P59" s="15" t="str">
        <f aca="false">IF($A59="","",IF(COUNTIF($A$3:$A59,$A59)=1,SUMIF(cobranza!$B$3:$B$1000,$A59,cobranza!$D$3:$D$1000),"↑"))</f>
        <v/>
      </c>
      <c r="Q59" s="15" t="str">
        <f aca="false">IF($A59="","",IF(COUNTIF($A$3:$A59,$A59)=1,SUMIFS($H$3:$H$1000,$A$3:$A$1000,$A59,$C$3:$C$1000,"&lt;&gt;Demo")-P59,"↑"))</f>
        <v/>
      </c>
      <c r="R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5" t="n">
        <f aca="false">IFERROR(H60-G60,"")</f>
        <v>0</v>
      </c>
      <c r="O60" s="16" t="str">
        <f aca="false">IFERROR(N60/H60,"")</f>
        <v/>
      </c>
      <c r="P60" s="15" t="str">
        <f aca="false">IF($A60="","",IF(COUNTIF($A$3:$A60,$A60)=1,SUMIF(cobranza!$B$3:$B$1000,$A60,cobranza!$D$3:$D$1000),"↑"))</f>
        <v/>
      </c>
      <c r="Q60" s="15" t="str">
        <f aca="false">IF($A60="","",IF(COUNTIF($A$3:$A60,$A60)=1,SUMIFS($H$3:$H$1000,$A$3:$A$1000,$A60,$C$3:$C$1000,"&lt;&gt;Demo")-P60,"↑"))</f>
        <v/>
      </c>
      <c r="R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5" t="n">
        <f aca="false">IFERROR(H61-G61,"")</f>
        <v>0</v>
      </c>
      <c r="O61" s="16" t="str">
        <f aca="false">IFERROR(N61/H61,"")</f>
        <v/>
      </c>
      <c r="P61" s="15" t="str">
        <f aca="false">IF($A61="","",IF(COUNTIF($A$3:$A61,$A61)=1,SUMIF(cobranza!$B$3:$B$1000,$A61,cobranza!$D$3:$D$1000),"↑"))</f>
        <v/>
      </c>
      <c r="Q61" s="15" t="str">
        <f aca="false">IF($A61="","",IF(COUNTIF($A$3:$A61,$A61)=1,SUMIFS($H$3:$H$1000,$A$3:$A$1000,$A61,$C$3:$C$1000,"&lt;&gt;Demo")-P61,"↑"))</f>
        <v/>
      </c>
      <c r="R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5" t="n">
        <f aca="false">IFERROR(H62-G62,"")</f>
        <v>0</v>
      </c>
      <c r="O62" s="16" t="str">
        <f aca="false">IFERROR(N62/H62,"")</f>
        <v/>
      </c>
      <c r="P62" s="15" t="str">
        <f aca="false">IF($A62="","",IF(COUNTIF($A$3:$A62,$A62)=1,SUMIF(cobranza!$B$3:$B$1000,$A62,cobranza!$D$3:$D$1000),"↑"))</f>
        <v/>
      </c>
      <c r="Q62" s="15" t="str">
        <f aca="false">IF($A62="","",IF(COUNTIF($A$3:$A62,$A62)=1,SUMIFS($H$3:$H$1000,$A$3:$A$1000,$A62,$C$3:$C$1000,"&lt;&gt;Demo")-P62,"↑"))</f>
        <v/>
      </c>
      <c r="R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5" t="n">
        <f aca="false">IFERROR(H63-G63,"")</f>
        <v>0</v>
      </c>
      <c r="O63" s="16" t="str">
        <f aca="false">IFERROR(N63/H63,"")</f>
        <v/>
      </c>
      <c r="P63" s="15" t="str">
        <f aca="false">IF($A63="","",IF(COUNTIF($A$3:$A63,$A63)=1,SUMIF(cobranza!$B$3:$B$1000,$A63,cobranza!$D$3:$D$1000),"↑"))</f>
        <v/>
      </c>
      <c r="Q63" s="15" t="str">
        <f aca="false">IF($A63="","",IF(COUNTIF($A$3:$A63,$A63)=1,SUMIFS($H$3:$H$1000,$A$3:$A$1000,$A63,$C$3:$C$1000,"&lt;&gt;Demo")-P63,"↑"))</f>
        <v/>
      </c>
      <c r="R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5" t="n">
        <f aca="false">IFERROR(H64-G64,"")</f>
        <v>0</v>
      </c>
      <c r="O64" s="16" t="str">
        <f aca="false">IFERROR(N64/H64,"")</f>
        <v/>
      </c>
      <c r="P64" s="15" t="str">
        <f aca="false">IF($A64="","",IF(COUNTIF($A$3:$A64,$A64)=1,SUMIF(cobranza!$B$3:$B$1000,$A64,cobranza!$D$3:$D$1000),"↑"))</f>
        <v/>
      </c>
      <c r="Q64" s="15" t="str">
        <f aca="false">IF($A64="","",IF(COUNTIF($A$3:$A64,$A64)=1,SUMIFS($H$3:$H$1000,$A$3:$A$1000,$A64,$C$3:$C$1000,"&lt;&gt;Demo")-P64,"↑"))</f>
        <v/>
      </c>
      <c r="R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5" t="n">
        <f aca="false">IFERROR(H65-G65,"")</f>
        <v>0</v>
      </c>
      <c r="O65" s="16" t="str">
        <f aca="false">IFERROR(N65/H65,"")</f>
        <v/>
      </c>
      <c r="P65" s="15" t="str">
        <f aca="false">IF($A65="","",IF(COUNTIF($A$3:$A65,$A65)=1,SUMIF(cobranza!$B$3:$B$1000,$A65,cobranza!$D$3:$D$1000),"↑"))</f>
        <v/>
      </c>
      <c r="Q65" s="15" t="str">
        <f aca="false">IF($A65="","",IF(COUNTIF($A$3:$A65,$A65)=1,SUMIFS($H$3:$H$1000,$A$3:$A$1000,$A65,$C$3:$C$1000,"&lt;&gt;Demo")-P65,"↑"))</f>
        <v/>
      </c>
      <c r="R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5" t="n">
        <f aca="false">IFERROR(H66-G66,"")</f>
        <v>0</v>
      </c>
      <c r="O66" s="16" t="str">
        <f aca="false">IFERROR(N66/H66,"")</f>
        <v/>
      </c>
      <c r="P66" s="15" t="str">
        <f aca="false">IF($A66="","",IF(COUNTIF($A$3:$A66,$A66)=1,SUMIF(cobranza!$B$3:$B$1000,$A66,cobranza!$D$3:$D$1000),"↑"))</f>
        <v/>
      </c>
      <c r="Q66" s="15" t="str">
        <f aca="false">IF($A66="","",IF(COUNTIF($A$3:$A66,$A66)=1,SUMIFS($H$3:$H$1000,$A$3:$A$1000,$A66,$C$3:$C$1000,"&lt;&gt;Demo")-P66,"↑"))</f>
        <v/>
      </c>
      <c r="R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5" t="n">
        <f aca="false">IFERROR(H67-G67,"")</f>
        <v>0</v>
      </c>
      <c r="O67" s="16" t="str">
        <f aca="false">IFERROR(N67/H67,"")</f>
        <v/>
      </c>
      <c r="P67" s="15" t="str">
        <f aca="false">IF($A67="","",IF(COUNTIF($A$3:$A67,$A67)=1,SUMIF(cobranza!$B$3:$B$1000,$A67,cobranza!$D$3:$D$1000),"↑"))</f>
        <v/>
      </c>
      <c r="Q67" s="15" t="str">
        <f aca="false">IF($A67="","",IF(COUNTIF($A$3:$A67,$A67)=1,SUMIFS($H$3:$H$1000,$A$3:$A$1000,$A67,$C$3:$C$1000,"&lt;&gt;Demo")-P67,"↑"))</f>
        <v/>
      </c>
      <c r="R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5" t="n">
        <f aca="false">IFERROR(H68-G68,"")</f>
        <v>0</v>
      </c>
      <c r="O68" s="16" t="str">
        <f aca="false">IFERROR(N68/H68,"")</f>
        <v/>
      </c>
      <c r="P68" s="15" t="str">
        <f aca="false">IF($A68="","",IF(COUNTIF($A$3:$A68,$A68)=1,SUMIF(cobranza!$B$3:$B$1000,$A68,cobranza!$D$3:$D$1000),"↑"))</f>
        <v/>
      </c>
      <c r="Q68" s="15" t="str">
        <f aca="false">IF($A68="","",IF(COUNTIF($A$3:$A68,$A68)=1,SUMIFS($H$3:$H$1000,$A$3:$A$1000,$A68,$C$3:$C$1000,"&lt;&gt;Demo")-P68,"↑"))</f>
        <v/>
      </c>
      <c r="R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5" t="n">
        <f aca="false">IFERROR(H69-G69,"")</f>
        <v>0</v>
      </c>
      <c r="O69" s="16" t="str">
        <f aca="false">IFERROR(N69/H69,"")</f>
        <v/>
      </c>
      <c r="P69" s="15" t="str">
        <f aca="false">IF($A69="","",IF(COUNTIF($A$3:$A69,$A69)=1,SUMIF(cobranza!$B$3:$B$1000,$A69,cobranza!$D$3:$D$1000),"↑"))</f>
        <v/>
      </c>
      <c r="Q69" s="15" t="str">
        <f aca="false">IF($A69="","",IF(COUNTIF($A$3:$A69,$A69)=1,SUMIFS($H$3:$H$1000,$A$3:$A$1000,$A69,$C$3:$C$1000,"&lt;&gt;Demo")-P69,"↑"))</f>
        <v/>
      </c>
      <c r="R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5" t="n">
        <f aca="false">IFERROR(H70-G70,"")</f>
        <v>0</v>
      </c>
      <c r="O70" s="16" t="str">
        <f aca="false">IFERROR(N70/H70,"")</f>
        <v/>
      </c>
      <c r="P70" s="15" t="str">
        <f aca="false">IF($A70="","",IF(COUNTIF($A$3:$A70,$A70)=1,SUMIF(cobranza!$B$3:$B$1000,$A70,cobranza!$D$3:$D$1000),"↑"))</f>
        <v/>
      </c>
      <c r="Q70" s="15" t="str">
        <f aca="false">IF($A70="","",IF(COUNTIF($A$3:$A70,$A70)=1,SUMIFS($H$3:$H$1000,$A$3:$A$1000,$A70,$C$3:$C$1000,"&lt;&gt;Demo")-P70,"↑"))</f>
        <v/>
      </c>
      <c r="R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5" t="n">
        <f aca="false">IFERROR(H71-G71,"")</f>
        <v>0</v>
      </c>
      <c r="O71" s="16" t="str">
        <f aca="false">IFERROR(N71/H71,"")</f>
        <v/>
      </c>
      <c r="P71" s="15" t="str">
        <f aca="false">IF($A71="","",IF(COUNTIF($A$3:$A71,$A71)=1,SUMIF(cobranza!$B$3:$B$1000,$A71,cobranza!$D$3:$D$1000),"↑"))</f>
        <v/>
      </c>
      <c r="Q71" s="15" t="str">
        <f aca="false">IF($A71="","",IF(COUNTIF($A$3:$A71,$A71)=1,SUMIFS($H$3:$H$1000,$A$3:$A$1000,$A71,$C$3:$C$1000,"&lt;&gt;Demo")-P71,"↑"))</f>
        <v/>
      </c>
      <c r="R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5" t="n">
        <f aca="false">IFERROR(H72-G72,"")</f>
        <v>0</v>
      </c>
      <c r="O72" s="16" t="str">
        <f aca="false">IFERROR(N72/H72,"")</f>
        <v/>
      </c>
      <c r="P72" s="15" t="str">
        <f aca="false">IF($A72="","",IF(COUNTIF($A$3:$A72,$A72)=1,SUMIF(cobranza!$B$3:$B$1000,$A72,cobranza!$D$3:$D$1000),"↑"))</f>
        <v/>
      </c>
      <c r="Q72" s="15" t="str">
        <f aca="false">IF($A72="","",IF(COUNTIF($A$3:$A72,$A72)=1,SUMIFS($H$3:$H$1000,$A$3:$A$1000,$A72,$C$3:$C$1000,"&lt;&gt;Demo")-P72,"↑"))</f>
        <v/>
      </c>
      <c r="R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5" t="n">
        <f aca="false">IFERROR(H73-G73,"")</f>
        <v>0</v>
      </c>
      <c r="O73" s="16" t="str">
        <f aca="false">IFERROR(N73/H73,"")</f>
        <v/>
      </c>
      <c r="P73" s="15" t="str">
        <f aca="false">IF($A73="","",IF(COUNTIF($A$3:$A73,$A73)=1,SUMIF(cobranza!$B$3:$B$1000,$A73,cobranza!$D$3:$D$1000),"↑"))</f>
        <v/>
      </c>
      <c r="Q73" s="15" t="str">
        <f aca="false">IF($A73="","",IF(COUNTIF($A$3:$A73,$A73)=1,SUMIFS($H$3:$H$1000,$A$3:$A$1000,$A73,$C$3:$C$1000,"&lt;&gt;Demo")-P73,"↑"))</f>
        <v/>
      </c>
      <c r="R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5" t="n">
        <f aca="false">IFERROR(H74-G74,"")</f>
        <v>0</v>
      </c>
      <c r="O74" s="16" t="str">
        <f aca="false">IFERROR(N74/H74,"")</f>
        <v/>
      </c>
      <c r="P74" s="15" t="str">
        <f aca="false">IF($A74="","",IF(COUNTIF($A$3:$A74,$A74)=1,SUMIF(cobranza!$B$3:$B$1000,$A74,cobranza!$D$3:$D$1000),"↑"))</f>
        <v/>
      </c>
      <c r="Q74" s="15" t="str">
        <f aca="false">IF($A74="","",IF(COUNTIF($A$3:$A74,$A74)=1,SUMIFS($H$3:$H$1000,$A$3:$A$1000,$A74,$C$3:$C$1000,"&lt;&gt;Demo")-P74,"↑"))</f>
        <v/>
      </c>
      <c r="R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5" t="n">
        <f aca="false">IFERROR(H75-G75,"")</f>
        <v>0</v>
      </c>
      <c r="O75" s="16" t="str">
        <f aca="false">IFERROR(N75/H75,"")</f>
        <v/>
      </c>
      <c r="P75" s="15" t="str">
        <f aca="false">IF($A75="","",IF(COUNTIF($A$3:$A75,$A75)=1,SUMIF(cobranza!$B$3:$B$1000,$A75,cobranza!$D$3:$D$1000),"↑"))</f>
        <v/>
      </c>
      <c r="Q75" s="15" t="str">
        <f aca="false">IF($A75="","",IF(COUNTIF($A$3:$A75,$A75)=1,SUMIFS($H$3:$H$1000,$A$3:$A$1000,$A75,$C$3:$C$1000,"&lt;&gt;Demo")-P75,"↑"))</f>
        <v/>
      </c>
      <c r="R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5" t="n">
        <f aca="false">IFERROR(H76-G76,"")</f>
        <v>0</v>
      </c>
      <c r="O76" s="16" t="str">
        <f aca="false">IFERROR(N76/H76,"")</f>
        <v/>
      </c>
      <c r="P76" s="15" t="str">
        <f aca="false">IF($A76="","",IF(COUNTIF($A$3:$A76,$A76)=1,SUMIF(cobranza!$B$3:$B$1000,$A76,cobranza!$D$3:$D$1000),"↑"))</f>
        <v/>
      </c>
      <c r="Q76" s="15" t="str">
        <f aca="false">IF($A76="","",IF(COUNTIF($A$3:$A76,$A76)=1,SUMIFS($H$3:$H$1000,$A$3:$A$1000,$A76,$C$3:$C$1000,"&lt;&gt;Demo")-P76,"↑"))</f>
        <v/>
      </c>
      <c r="R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5" t="n">
        <f aca="false">IFERROR(H77-G77,"")</f>
        <v>0</v>
      </c>
      <c r="O77" s="16" t="str">
        <f aca="false">IFERROR(N77/H77,"")</f>
        <v/>
      </c>
      <c r="P77" s="15" t="str">
        <f aca="false">IF($A77="","",IF(COUNTIF($A$3:$A77,$A77)=1,SUMIF(cobranza!$B$3:$B$1000,$A77,cobranza!$D$3:$D$1000),"↑"))</f>
        <v/>
      </c>
      <c r="Q77" s="15" t="str">
        <f aca="false">IF($A77="","",IF(COUNTIF($A$3:$A77,$A77)=1,SUMIFS($H$3:$H$1000,$A$3:$A$1000,$A77,$C$3:$C$1000,"&lt;&gt;Demo")-P77,"↑"))</f>
        <v/>
      </c>
      <c r="R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5" t="n">
        <f aca="false">IFERROR(H78-G78,"")</f>
        <v>0</v>
      </c>
      <c r="O78" s="16" t="str">
        <f aca="false">IFERROR(N78/H78,"")</f>
        <v/>
      </c>
      <c r="P78" s="15" t="str">
        <f aca="false">IF($A78="","",IF(COUNTIF($A$3:$A78,$A78)=1,SUMIF(cobranza!$B$3:$B$1000,$A78,cobranza!$D$3:$D$1000),"↑"))</f>
        <v/>
      </c>
      <c r="Q78" s="15" t="str">
        <f aca="false">IF($A78="","",IF(COUNTIF($A$3:$A78,$A78)=1,SUMIFS($H$3:$H$1000,$A$3:$A$1000,$A78,$C$3:$C$1000,"&lt;&gt;Demo")-P78,"↑"))</f>
        <v/>
      </c>
      <c r="R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5" t="n">
        <f aca="false">IFERROR(H79-G79,"")</f>
        <v>0</v>
      </c>
      <c r="O79" s="16" t="str">
        <f aca="false">IFERROR(N79/H79,"")</f>
        <v/>
      </c>
      <c r="P79" s="15" t="str">
        <f aca="false">IF($A79="","",IF(COUNTIF($A$3:$A79,$A79)=1,SUMIF(cobranza!$B$3:$B$1000,$A79,cobranza!$D$3:$D$1000),"↑"))</f>
        <v/>
      </c>
      <c r="Q79" s="15" t="str">
        <f aca="false">IF($A79="","",IF(COUNTIF($A$3:$A79,$A79)=1,SUMIFS($H$3:$H$1000,$A$3:$A$1000,$A79,$C$3:$C$1000,"&lt;&gt;Demo")-P79,"↑"))</f>
        <v/>
      </c>
      <c r="R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5" t="n">
        <f aca="false">IFERROR(H80-G80,"")</f>
        <v>0</v>
      </c>
      <c r="O80" s="16" t="str">
        <f aca="false">IFERROR(N80/H80,"")</f>
        <v/>
      </c>
      <c r="P80" s="15" t="str">
        <f aca="false">IF($A80="","",IF(COUNTIF($A$3:$A80,$A80)=1,SUMIF(cobranza!$B$3:$B$1000,$A80,cobranza!$D$3:$D$1000),"↑"))</f>
        <v/>
      </c>
      <c r="Q80" s="15" t="str">
        <f aca="false">IF($A80="","",IF(COUNTIF($A$3:$A80,$A80)=1,SUMIFS($H$3:$H$1000,$A$3:$A$1000,$A80,$C$3:$C$1000,"&lt;&gt;Demo")-P80,"↑"))</f>
        <v/>
      </c>
      <c r="R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5" t="n">
        <f aca="false">IFERROR(H81-G81,"")</f>
        <v>0</v>
      </c>
      <c r="O81" s="16" t="str">
        <f aca="false">IFERROR(N81/H81,"")</f>
        <v/>
      </c>
      <c r="P81" s="15" t="str">
        <f aca="false">IF($A81="","",IF(COUNTIF($A$3:$A81,$A81)=1,SUMIF(cobranza!$B$3:$B$1000,$A81,cobranza!$D$3:$D$1000),"↑"))</f>
        <v/>
      </c>
      <c r="Q81" s="15" t="str">
        <f aca="false">IF($A81="","",IF(COUNTIF($A$3:$A81,$A81)=1,SUMIFS($H$3:$H$1000,$A$3:$A$1000,$A81,$C$3:$C$1000,"&lt;&gt;Demo")-P81,"↑"))</f>
        <v/>
      </c>
      <c r="R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5" t="n">
        <f aca="false">IFERROR(H82-G82,"")</f>
        <v>0</v>
      </c>
      <c r="O82" s="16" t="str">
        <f aca="false">IFERROR(N82/H82,"")</f>
        <v/>
      </c>
      <c r="P82" s="15" t="str">
        <f aca="false">IF($A82="","",IF(COUNTIF($A$3:$A82,$A82)=1,SUMIF(cobranza!$B$3:$B$1000,$A82,cobranza!$D$3:$D$1000),"↑"))</f>
        <v/>
      </c>
      <c r="Q82" s="15" t="str">
        <f aca="false">IF($A82="","",IF(COUNTIF($A$3:$A82,$A82)=1,SUMIFS($H$3:$H$1000,$A$3:$A$1000,$A82,$C$3:$C$1000,"&lt;&gt;Demo")-P82,"↑"))</f>
        <v/>
      </c>
      <c r="R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5" t="n">
        <f aca="false">IFERROR(H83-G83,"")</f>
        <v>0</v>
      </c>
      <c r="O83" s="16" t="str">
        <f aca="false">IFERROR(N83/H83,"")</f>
        <v/>
      </c>
      <c r="P83" s="15" t="str">
        <f aca="false">IF($A83="","",IF(COUNTIF($A$3:$A83,$A83)=1,SUMIF(cobranza!$B$3:$B$1000,$A83,cobranza!$D$3:$D$1000),"↑"))</f>
        <v/>
      </c>
      <c r="Q83" s="15" t="str">
        <f aca="false">IF($A83="","",IF(COUNTIF($A$3:$A83,$A83)=1,SUMIFS($H$3:$H$1000,$A$3:$A$1000,$A83,$C$3:$C$1000,"&lt;&gt;Demo")-P83,"↑"))</f>
        <v/>
      </c>
      <c r="R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5" t="n">
        <f aca="false">IFERROR(H84-G84,"")</f>
        <v>0</v>
      </c>
      <c r="O84" s="16" t="str">
        <f aca="false">IFERROR(N84/H84,"")</f>
        <v/>
      </c>
      <c r="P84" s="15" t="str">
        <f aca="false">IF($A84="","",IF(COUNTIF($A$3:$A84,$A84)=1,SUMIF(cobranza!$B$3:$B$1000,$A84,cobranza!$D$3:$D$1000),"↑"))</f>
        <v/>
      </c>
      <c r="Q84" s="15" t="str">
        <f aca="false">IF($A84="","",IF(COUNTIF($A$3:$A84,$A84)=1,SUMIFS($H$3:$H$1000,$A$3:$A$1000,$A84,$C$3:$C$1000,"&lt;&gt;Demo")-P84,"↑"))</f>
        <v/>
      </c>
      <c r="R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5" t="n">
        <f aca="false">IFERROR(H85-G85,"")</f>
        <v>0</v>
      </c>
      <c r="O85" s="16" t="str">
        <f aca="false">IFERROR(N85/H85,"")</f>
        <v/>
      </c>
      <c r="P85" s="15" t="str">
        <f aca="false">IF($A85="","",IF(COUNTIF($A$3:$A85,$A85)=1,SUMIF(cobranza!$B$3:$B$1000,$A85,cobranza!$D$3:$D$1000),"↑"))</f>
        <v/>
      </c>
      <c r="Q85" s="15" t="str">
        <f aca="false">IF($A85="","",IF(COUNTIF($A$3:$A85,$A85)=1,SUMIFS($H$3:$H$1000,$A$3:$A$1000,$A85,$C$3:$C$1000,"&lt;&gt;Demo")-P85,"↑"))</f>
        <v/>
      </c>
      <c r="R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5" t="n">
        <f aca="false">IFERROR(H86-G86,"")</f>
        <v>0</v>
      </c>
      <c r="O86" s="16" t="str">
        <f aca="false">IFERROR(N86/H86,"")</f>
        <v/>
      </c>
      <c r="P86" s="15" t="str">
        <f aca="false">IF($A86="","",IF(COUNTIF($A$3:$A86,$A86)=1,SUMIF(cobranza!$B$3:$B$1000,$A86,cobranza!$D$3:$D$1000),"↑"))</f>
        <v/>
      </c>
      <c r="Q86" s="15" t="str">
        <f aca="false">IF($A86="","",IF(COUNTIF($A$3:$A86,$A86)=1,SUMIFS($H$3:$H$1000,$A$3:$A$1000,$A86,$C$3:$C$1000,"&lt;&gt;Demo")-P86,"↑"))</f>
        <v/>
      </c>
      <c r="R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5" t="n">
        <f aca="false">IFERROR(H87-G87,"")</f>
        <v>0</v>
      </c>
      <c r="O87" s="16" t="str">
        <f aca="false">IFERROR(N87/H87,"")</f>
        <v/>
      </c>
      <c r="P87" s="15" t="str">
        <f aca="false">IF($A87="","",IF(COUNTIF($A$3:$A87,$A87)=1,SUMIF(cobranza!$B$3:$B$1000,$A87,cobranza!$D$3:$D$1000),"↑"))</f>
        <v/>
      </c>
      <c r="Q87" s="15" t="str">
        <f aca="false">IF($A87="","",IF(COUNTIF($A$3:$A87,$A87)=1,SUMIFS($H$3:$H$1000,$A$3:$A$1000,$A87,$C$3:$C$1000,"&lt;&gt;Demo")-P87,"↑"))</f>
        <v/>
      </c>
      <c r="R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5" t="n">
        <f aca="false">IFERROR(H88-G88,"")</f>
        <v>0</v>
      </c>
      <c r="O88" s="16" t="str">
        <f aca="false">IFERROR(N88/H88,"")</f>
        <v/>
      </c>
      <c r="P88" s="15" t="str">
        <f aca="false">IF($A88="","",IF(COUNTIF($A$3:$A88,$A88)=1,SUMIF(cobranza!$B$3:$B$1000,$A88,cobranza!$D$3:$D$1000),"↑"))</f>
        <v/>
      </c>
      <c r="Q88" s="15" t="str">
        <f aca="false">IF($A88="","",IF(COUNTIF($A$3:$A88,$A88)=1,SUMIFS($H$3:$H$1000,$A$3:$A$1000,$A88,$C$3:$C$1000,"&lt;&gt;Demo")-P88,"↑"))</f>
        <v/>
      </c>
      <c r="R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5" t="n">
        <f aca="false">IFERROR(H89-G89,"")</f>
        <v>0</v>
      </c>
      <c r="O89" s="16" t="str">
        <f aca="false">IFERROR(N89/H89,"")</f>
        <v/>
      </c>
      <c r="P89" s="15" t="str">
        <f aca="false">IF($A89="","",IF(COUNTIF($A$3:$A89,$A89)=1,SUMIF(cobranza!$B$3:$B$1000,$A89,cobranza!$D$3:$D$1000),"↑"))</f>
        <v/>
      </c>
      <c r="Q89" s="15" t="str">
        <f aca="false">IF($A89="","",IF(COUNTIF($A$3:$A89,$A89)=1,SUMIFS($H$3:$H$1000,$A$3:$A$1000,$A89,$C$3:$C$1000,"&lt;&gt;Demo")-P89,"↑"))</f>
        <v/>
      </c>
      <c r="R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5" t="n">
        <f aca="false">IFERROR(H90-G90,"")</f>
        <v>0</v>
      </c>
      <c r="O90" s="16" t="str">
        <f aca="false">IFERROR(N90/H90,"")</f>
        <v/>
      </c>
      <c r="P90" s="15" t="str">
        <f aca="false">IF($A90="","",IF(COUNTIF($A$3:$A90,$A90)=1,SUMIF(cobranza!$B$3:$B$1000,$A90,cobranza!$D$3:$D$1000),"↑"))</f>
        <v/>
      </c>
      <c r="Q90" s="15" t="str">
        <f aca="false">IF($A90="","",IF(COUNTIF($A$3:$A90,$A90)=1,SUMIFS($H$3:$H$1000,$A$3:$A$1000,$A90,$C$3:$C$1000,"&lt;&gt;Demo")-P90,"↑"))</f>
        <v/>
      </c>
      <c r="R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5" t="n">
        <f aca="false">IFERROR(H91-G91,"")</f>
        <v>0</v>
      </c>
      <c r="O91" s="16" t="str">
        <f aca="false">IFERROR(N91/H91,"")</f>
        <v/>
      </c>
      <c r="P91" s="15" t="str">
        <f aca="false">IF($A91="","",IF(COUNTIF($A$3:$A91,$A91)=1,SUMIF(cobranza!$B$3:$B$1000,$A91,cobranza!$D$3:$D$1000),"↑"))</f>
        <v/>
      </c>
      <c r="Q91" s="15" t="str">
        <f aca="false">IF($A91="","",IF(COUNTIF($A$3:$A91,$A91)=1,SUMIFS($H$3:$H$1000,$A$3:$A$1000,$A91,$C$3:$C$1000,"&lt;&gt;Demo")-P91,"↑"))</f>
        <v/>
      </c>
      <c r="R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5" t="n">
        <f aca="false">IFERROR(H92-G92,"")</f>
        <v>0</v>
      </c>
      <c r="O92" s="16" t="str">
        <f aca="false">IFERROR(N92/H92,"")</f>
        <v/>
      </c>
      <c r="P92" s="15" t="str">
        <f aca="false">IF($A92="","",IF(COUNTIF($A$3:$A92,$A92)=1,SUMIF(cobranza!$B$3:$B$1000,$A92,cobranza!$D$3:$D$1000),"↑"))</f>
        <v/>
      </c>
      <c r="Q92" s="15" t="str">
        <f aca="false">IF($A92="","",IF(COUNTIF($A$3:$A92,$A92)=1,SUMIFS($H$3:$H$1000,$A$3:$A$1000,$A92,$C$3:$C$1000,"&lt;&gt;Demo")-P92,"↑"))</f>
        <v/>
      </c>
      <c r="R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5" t="n">
        <f aca="false">IFERROR(H93-G93,"")</f>
        <v>0</v>
      </c>
      <c r="O93" s="16" t="str">
        <f aca="false">IFERROR(N93/H93,"")</f>
        <v/>
      </c>
      <c r="P93" s="15" t="str">
        <f aca="false">IF($A93="","",IF(COUNTIF($A$3:$A93,$A93)=1,SUMIF(cobranza!$B$3:$B$1000,$A93,cobranza!$D$3:$D$1000),"↑"))</f>
        <v/>
      </c>
      <c r="Q93" s="15" t="str">
        <f aca="false">IF($A93="","",IF(COUNTIF($A$3:$A93,$A93)=1,SUMIFS($H$3:$H$1000,$A$3:$A$1000,$A93,$C$3:$C$1000,"&lt;&gt;Demo")-P93,"↑"))</f>
        <v/>
      </c>
      <c r="R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5" t="n">
        <f aca="false">IFERROR(H94-G94,"")</f>
        <v>0</v>
      </c>
      <c r="O94" s="16" t="str">
        <f aca="false">IFERROR(N94/H94,"")</f>
        <v/>
      </c>
      <c r="P94" s="15" t="str">
        <f aca="false">IF($A94="","",IF(COUNTIF($A$3:$A94,$A94)=1,SUMIF(cobranza!$B$3:$B$1000,$A94,cobranza!$D$3:$D$1000),"↑"))</f>
        <v/>
      </c>
      <c r="Q94" s="15" t="str">
        <f aca="false">IF($A94="","",IF(COUNTIF($A$3:$A94,$A94)=1,SUMIFS($H$3:$H$1000,$A$3:$A$1000,$A94,$C$3:$C$1000,"&lt;&gt;Demo")-P94,"↑"))</f>
        <v/>
      </c>
      <c r="R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5" t="n">
        <f aca="false">IFERROR(H95-G95,"")</f>
        <v>0</v>
      </c>
      <c r="O95" s="16" t="str">
        <f aca="false">IFERROR(N95/H95,"")</f>
        <v/>
      </c>
      <c r="P95" s="15" t="str">
        <f aca="false">IF($A95="","",IF(COUNTIF($A$3:$A95,$A95)=1,SUMIF(cobranza!$B$3:$B$1000,$A95,cobranza!$D$3:$D$1000),"↑"))</f>
        <v/>
      </c>
      <c r="Q95" s="15" t="str">
        <f aca="false">IF($A95="","",IF(COUNTIF($A$3:$A95,$A95)=1,SUMIFS($H$3:$H$1000,$A$3:$A$1000,$A95,$C$3:$C$1000,"&lt;&gt;Demo")-P95,"↑"))</f>
        <v/>
      </c>
      <c r="R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5" t="n">
        <f aca="false">IFERROR(H96-G96,"")</f>
        <v>0</v>
      </c>
      <c r="O96" s="16" t="str">
        <f aca="false">IFERROR(N96/H96,"")</f>
        <v/>
      </c>
      <c r="P96" s="15" t="str">
        <f aca="false">IF($A96="","",IF(COUNTIF($A$3:$A96,$A96)=1,SUMIF(cobranza!$B$3:$B$1000,$A96,cobranza!$D$3:$D$1000),"↑"))</f>
        <v/>
      </c>
      <c r="Q96" s="15" t="str">
        <f aca="false">IF($A96="","",IF(COUNTIF($A$3:$A96,$A96)=1,SUMIFS($H$3:$H$1000,$A$3:$A$1000,$A96,$C$3:$C$1000,"&lt;&gt;Demo")-P96,"↑"))</f>
        <v/>
      </c>
      <c r="R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5" t="n">
        <f aca="false">IFERROR(H97-G97,"")</f>
        <v>0</v>
      </c>
      <c r="O97" s="16" t="str">
        <f aca="false">IFERROR(N97/H97,"")</f>
        <v/>
      </c>
      <c r="P97" s="15" t="str">
        <f aca="false">IF($A97="","",IF(COUNTIF($A$3:$A97,$A97)=1,SUMIF(cobranza!$B$3:$B$1000,$A97,cobranza!$D$3:$D$1000),"↑"))</f>
        <v/>
      </c>
      <c r="Q97" s="15" t="str">
        <f aca="false">IF($A97="","",IF(COUNTIF($A$3:$A97,$A97)=1,SUMIFS($H$3:$H$1000,$A$3:$A$1000,$A97,$C$3:$C$1000,"&lt;&gt;Demo")-P97,"↑"))</f>
        <v/>
      </c>
      <c r="R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5" t="n">
        <f aca="false">IFERROR(H98-G98,"")</f>
        <v>0</v>
      </c>
      <c r="O98" s="16" t="str">
        <f aca="false">IFERROR(N98/H98,"")</f>
        <v/>
      </c>
      <c r="P98" s="15" t="str">
        <f aca="false">IF($A98="","",IF(COUNTIF($A$3:$A98,$A98)=1,SUMIF(cobranza!$B$3:$B$1000,$A98,cobranza!$D$3:$D$1000),"↑"))</f>
        <v/>
      </c>
      <c r="Q98" s="15" t="str">
        <f aca="false">IF($A98="","",IF(COUNTIF($A$3:$A98,$A98)=1,SUMIFS($H$3:$H$1000,$A$3:$A$1000,$A98,$C$3:$C$1000,"&lt;&gt;Demo")-P98,"↑"))</f>
        <v/>
      </c>
      <c r="R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5" t="n">
        <f aca="false">IFERROR(H99-G99,"")</f>
        <v>0</v>
      </c>
      <c r="O99" s="16" t="str">
        <f aca="false">IFERROR(N99/H99,"")</f>
        <v/>
      </c>
      <c r="P99" s="15" t="str">
        <f aca="false">IF($A99="","",IF(COUNTIF($A$3:$A99,$A99)=1,SUMIF(cobranza!$B$3:$B$1000,$A99,cobranza!$D$3:$D$1000),"↑"))</f>
        <v/>
      </c>
      <c r="Q99" s="15" t="str">
        <f aca="false">IF($A99="","",IF(COUNTIF($A$3:$A99,$A99)=1,SUMIFS($H$3:$H$1000,$A$3:$A$1000,$A99,$C$3:$C$1000,"&lt;&gt;Demo")-P99,"↑"))</f>
        <v/>
      </c>
      <c r="R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5" t="n">
        <f aca="false">IFERROR(H100-G100,"")</f>
        <v>0</v>
      </c>
      <c r="O100" s="16" t="str">
        <f aca="false">IFERROR(N100/H100,"")</f>
        <v/>
      </c>
      <c r="P100" s="15" t="str">
        <f aca="false">IF($A100="","",IF(COUNTIF($A$3:$A100,$A100)=1,SUMIF(cobranza!$B$3:$B$1000,$A100,cobranza!$D$3:$D$1000),"↑"))</f>
        <v/>
      </c>
      <c r="Q100" s="15" t="str">
        <f aca="false">IF($A100="","",IF(COUNTIF($A$3:$A100,$A100)=1,SUMIFS($H$3:$H$1000,$A$3:$A$1000,$A100,$C$3:$C$1000,"&lt;&gt;Demo")-P100,"↑"))</f>
        <v/>
      </c>
      <c r="R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5" t="n">
        <f aca="false">IFERROR(H101-G101,"")</f>
        <v>0</v>
      </c>
      <c r="O101" s="16" t="str">
        <f aca="false">IFERROR(N101/H101,"")</f>
        <v/>
      </c>
      <c r="P101" s="15" t="str">
        <f aca="false">IF($A101="","",IF(COUNTIF($A$3:$A101,$A101)=1,SUMIF(cobranza!$B$3:$B$1000,$A101,cobranza!$D$3:$D$1000),"↑"))</f>
        <v/>
      </c>
      <c r="Q101" s="15" t="str">
        <f aca="false">IF($A101="","",IF(COUNTIF($A$3:$A101,$A101)=1,SUMIFS($H$3:$H$1000,$A$3:$A$1000,$A101,$C$3:$C$1000,"&lt;&gt;Demo")-P101,"↑"))</f>
        <v/>
      </c>
      <c r="R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5" t="n">
        <f aca="false">IFERROR(H102-G102,"")</f>
        <v>0</v>
      </c>
      <c r="O102" s="16" t="str">
        <f aca="false">IFERROR(N102/H102,"")</f>
        <v/>
      </c>
      <c r="P102" s="15" t="str">
        <f aca="false">IF($A102="","",IF(COUNTIF($A$3:$A102,$A102)=1,SUMIF(cobranza!$B$3:$B$1000,$A102,cobranza!$D$3:$D$1000),"↑"))</f>
        <v/>
      </c>
      <c r="Q102" s="15" t="str">
        <f aca="false">IF($A102="","",IF(COUNTIF($A$3:$A102,$A102)=1,SUMIFS($H$3:$H$1000,$A$3:$A$1000,$A102,$C$3:$C$1000,"&lt;&gt;Demo")-P102,"↑"))</f>
        <v/>
      </c>
      <c r="R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5" t="n">
        <f aca="false">IFERROR(H103-G103,"")</f>
        <v>0</v>
      </c>
      <c r="O103" s="16" t="str">
        <f aca="false">IFERROR(N103/H103,"")</f>
        <v/>
      </c>
      <c r="P103" s="15" t="str">
        <f aca="false">IF($A103="","",IF(COUNTIF($A$3:$A103,$A103)=1,SUMIF(cobranza!$B$3:$B$1000,$A103,cobranza!$D$3:$D$1000),"↑"))</f>
        <v/>
      </c>
      <c r="Q103" s="15" t="str">
        <f aca="false">IF($A103="","",IF(COUNTIF($A$3:$A103,$A103)=1,SUMIFS($H$3:$H$1000,$A$3:$A$1000,$A103,$C$3:$C$1000,"&lt;&gt;Demo")-P103,"↑"))</f>
        <v/>
      </c>
      <c r="R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5" t="n">
        <f aca="false">IFERROR(H104-G104,"")</f>
        <v>0</v>
      </c>
      <c r="O104" s="16" t="str">
        <f aca="false">IFERROR(N104/H104,"")</f>
        <v/>
      </c>
      <c r="P104" s="15" t="str">
        <f aca="false">IF($A104="","",IF(COUNTIF($A$3:$A104,$A104)=1,SUMIF(cobranza!$B$3:$B$1000,$A104,cobranza!$D$3:$D$1000),"↑"))</f>
        <v/>
      </c>
      <c r="Q104" s="15" t="str">
        <f aca="false">IF($A104="","",IF(COUNTIF($A$3:$A104,$A104)=1,SUMIFS($H$3:$H$1000,$A$3:$A$1000,$A104,$C$3:$C$1000,"&lt;&gt;Demo")-P104,"↑"))</f>
        <v/>
      </c>
      <c r="R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5" t="n">
        <f aca="false">IFERROR(H105-G105,"")</f>
        <v>0</v>
      </c>
      <c r="O105" s="16" t="str">
        <f aca="false">IFERROR(N105/H105,"")</f>
        <v/>
      </c>
      <c r="P105" s="15" t="str">
        <f aca="false">IF($A105="","",IF(COUNTIF($A$3:$A105,$A105)=1,SUMIF(cobranza!$B$3:$B$1000,$A105,cobranza!$D$3:$D$1000),"↑"))</f>
        <v/>
      </c>
      <c r="Q105" s="15" t="str">
        <f aca="false">IF($A105="","",IF(COUNTIF($A$3:$A105,$A105)=1,SUMIFS($H$3:$H$1000,$A$3:$A$1000,$A105,$C$3:$C$1000,"&lt;&gt;Demo")-P105,"↑"))</f>
        <v/>
      </c>
      <c r="R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5" t="n">
        <f aca="false">IFERROR(H106-G106,"")</f>
        <v>0</v>
      </c>
      <c r="O106" s="16" t="str">
        <f aca="false">IFERROR(N106/H106,"")</f>
        <v/>
      </c>
      <c r="P106" s="15" t="str">
        <f aca="false">IF($A106="","",IF(COUNTIF($A$3:$A106,$A106)=1,SUMIF(cobranza!$B$3:$B$1000,$A106,cobranza!$D$3:$D$1000),"↑"))</f>
        <v/>
      </c>
      <c r="Q106" s="15" t="str">
        <f aca="false">IF($A106="","",IF(COUNTIF($A$3:$A106,$A106)=1,SUMIFS($H$3:$H$1000,$A$3:$A$1000,$A106,$C$3:$C$1000,"&lt;&gt;Demo")-P106,"↑"))</f>
        <v/>
      </c>
      <c r="R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5" t="n">
        <f aca="false">IFERROR(H107-G107,"")</f>
        <v>0</v>
      </c>
      <c r="O107" s="16" t="str">
        <f aca="false">IFERROR(N107/H107,"")</f>
        <v/>
      </c>
      <c r="P107" s="15" t="str">
        <f aca="false">IF($A107="","",IF(COUNTIF($A$3:$A107,$A107)=1,SUMIF(cobranza!$B$3:$B$1000,$A107,cobranza!$D$3:$D$1000),"↑"))</f>
        <v/>
      </c>
      <c r="Q107" s="15" t="str">
        <f aca="false">IF($A107="","",IF(COUNTIF($A$3:$A107,$A107)=1,SUMIFS($H$3:$H$1000,$A$3:$A$1000,$A107,$C$3:$C$1000,"&lt;&gt;Demo")-P107,"↑"))</f>
        <v/>
      </c>
      <c r="R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5" t="n">
        <f aca="false">IFERROR(H108-G108,"")</f>
        <v>0</v>
      </c>
      <c r="O108" s="16" t="str">
        <f aca="false">IFERROR(N108/H108,"")</f>
        <v/>
      </c>
      <c r="P108" s="15" t="str">
        <f aca="false">IF($A108="","",IF(COUNTIF($A$3:$A108,$A108)=1,SUMIF(cobranza!$B$3:$B$1000,$A108,cobranza!$D$3:$D$1000),"↑"))</f>
        <v/>
      </c>
      <c r="Q108" s="15" t="str">
        <f aca="false">IF($A108="","",IF(COUNTIF($A$3:$A108,$A108)=1,SUMIFS($H$3:$H$1000,$A$3:$A$1000,$A108,$C$3:$C$1000,"&lt;&gt;Demo")-P108,"↑"))</f>
        <v/>
      </c>
      <c r="R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5" t="n">
        <f aca="false">IFERROR(H109-G109,"")</f>
        <v>0</v>
      </c>
      <c r="O109" s="16" t="str">
        <f aca="false">IFERROR(N109/H109,"")</f>
        <v/>
      </c>
      <c r="P109" s="15" t="str">
        <f aca="false">IF($A109="","",IF(COUNTIF($A$3:$A109,$A109)=1,SUMIF(cobranza!$B$3:$B$1000,$A109,cobranza!$D$3:$D$1000),"↑"))</f>
        <v/>
      </c>
      <c r="Q109" s="15" t="str">
        <f aca="false">IF($A109="","",IF(COUNTIF($A$3:$A109,$A109)=1,SUMIFS($H$3:$H$1000,$A$3:$A$1000,$A109,$C$3:$C$1000,"&lt;&gt;Demo")-P109,"↑"))</f>
        <v/>
      </c>
      <c r="R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5" t="n">
        <f aca="false">IFERROR(H110-G110,"")</f>
        <v>0</v>
      </c>
      <c r="O110" s="16" t="str">
        <f aca="false">IFERROR(N110/H110,"")</f>
        <v/>
      </c>
      <c r="P110" s="15" t="str">
        <f aca="false">IF($A110="","",IF(COUNTIF($A$3:$A110,$A110)=1,SUMIF(cobranza!$B$3:$B$1000,$A110,cobranza!$D$3:$D$1000),"↑"))</f>
        <v/>
      </c>
      <c r="Q110" s="15" t="str">
        <f aca="false">IF($A110="","",IF(COUNTIF($A$3:$A110,$A110)=1,SUMIFS($H$3:$H$1000,$A$3:$A$1000,$A110,$C$3:$C$1000,"&lt;&gt;Demo")-P110,"↑"))</f>
        <v/>
      </c>
      <c r="R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5" t="n">
        <f aca="false">IFERROR(H111-G111,"")</f>
        <v>0</v>
      </c>
      <c r="O111" s="16" t="str">
        <f aca="false">IFERROR(N111/H111,"")</f>
        <v/>
      </c>
      <c r="P111" s="15" t="str">
        <f aca="false">IF($A111="","",IF(COUNTIF($A$3:$A111,$A111)=1,SUMIF(cobranza!$B$3:$B$1000,$A111,cobranza!$D$3:$D$1000),"↑"))</f>
        <v/>
      </c>
      <c r="Q111" s="15" t="str">
        <f aca="false">IF($A111="","",IF(COUNTIF($A$3:$A111,$A111)=1,SUMIFS($H$3:$H$1000,$A$3:$A$1000,$A111,$C$3:$C$1000,"&lt;&gt;Demo")-P111,"↑"))</f>
        <v/>
      </c>
      <c r="R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5" t="n">
        <f aca="false">IFERROR(H112-G112,"")</f>
        <v>0</v>
      </c>
      <c r="O112" s="16" t="str">
        <f aca="false">IFERROR(N112/H112,"")</f>
        <v/>
      </c>
      <c r="P112" s="15" t="str">
        <f aca="false">IF($A112="","",IF(COUNTIF($A$3:$A112,$A112)=1,SUMIF(cobranza!$B$3:$B$1000,$A112,cobranza!$D$3:$D$1000),"↑"))</f>
        <v/>
      </c>
      <c r="Q112" s="15" t="str">
        <f aca="false">IF($A112="","",IF(COUNTIF($A$3:$A112,$A112)=1,SUMIFS($H$3:$H$1000,$A$3:$A$1000,$A112,$C$3:$C$1000,"&lt;&gt;Demo")-P112,"↑"))</f>
        <v/>
      </c>
      <c r="R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5" t="n">
        <f aca="false">IFERROR(H113-G113,"")</f>
        <v>0</v>
      </c>
      <c r="O113" s="16" t="str">
        <f aca="false">IFERROR(N113/H113,"")</f>
        <v/>
      </c>
      <c r="P113" s="15" t="str">
        <f aca="false">IF($A113="","",IF(COUNTIF($A$3:$A113,$A113)=1,SUMIF(cobranza!$B$3:$B$1000,$A113,cobranza!$D$3:$D$1000),"↑"))</f>
        <v/>
      </c>
      <c r="Q113" s="15" t="str">
        <f aca="false">IF($A113="","",IF(COUNTIF($A$3:$A113,$A113)=1,SUMIFS($H$3:$H$1000,$A$3:$A$1000,$A113,$C$3:$C$1000,"&lt;&gt;Demo")-P113,"↑"))</f>
        <v/>
      </c>
      <c r="R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5" t="n">
        <f aca="false">IFERROR(H114-G114,"")</f>
        <v>0</v>
      </c>
      <c r="O114" s="16" t="str">
        <f aca="false">IFERROR(N114/H114,"")</f>
        <v/>
      </c>
      <c r="P114" s="15" t="str">
        <f aca="false">IF($A114="","",IF(COUNTIF($A$3:$A114,$A114)=1,SUMIF(cobranza!$B$3:$B$1000,$A114,cobranza!$D$3:$D$1000),"↑"))</f>
        <v/>
      </c>
      <c r="Q114" s="15" t="str">
        <f aca="false">IF($A114="","",IF(COUNTIF($A$3:$A114,$A114)=1,SUMIFS($H$3:$H$1000,$A$3:$A$1000,$A114,$C$3:$C$1000,"&lt;&gt;Demo")-P114,"↑"))</f>
        <v/>
      </c>
      <c r="R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5" t="n">
        <f aca="false">IFERROR(H115-G115,"")</f>
        <v>0</v>
      </c>
      <c r="O115" s="16" t="str">
        <f aca="false">IFERROR(N115/H115,"")</f>
        <v/>
      </c>
      <c r="P115" s="15" t="str">
        <f aca="false">IF($A115="","",IF(COUNTIF($A$3:$A115,$A115)=1,SUMIF(cobranza!$B$3:$B$1000,$A115,cobranza!$D$3:$D$1000),"↑"))</f>
        <v/>
      </c>
      <c r="Q115" s="15" t="str">
        <f aca="false">IF($A115="","",IF(COUNTIF($A$3:$A115,$A115)=1,SUMIFS($H$3:$H$1000,$A$3:$A$1000,$A115,$C$3:$C$1000,"&lt;&gt;Demo")-P115,"↑"))</f>
        <v/>
      </c>
      <c r="R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5" t="n">
        <f aca="false">IFERROR(H116-G116,"")</f>
        <v>0</v>
      </c>
      <c r="O116" s="16" t="str">
        <f aca="false">IFERROR(N116/H116,"")</f>
        <v/>
      </c>
      <c r="P116" s="15" t="str">
        <f aca="false">IF($A116="","",IF(COUNTIF($A$3:$A116,$A116)=1,SUMIF(cobranza!$B$3:$B$1000,$A116,cobranza!$D$3:$D$1000),"↑"))</f>
        <v/>
      </c>
      <c r="Q116" s="15" t="str">
        <f aca="false">IF($A116="","",IF(COUNTIF($A$3:$A116,$A116)=1,SUMIFS($H$3:$H$1000,$A$3:$A$1000,$A116,$C$3:$C$1000,"&lt;&gt;Demo")-P116,"↑"))</f>
        <v/>
      </c>
      <c r="R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5" t="n">
        <f aca="false">IFERROR(H117-G117,"")</f>
        <v>0</v>
      </c>
      <c r="O117" s="16" t="str">
        <f aca="false">IFERROR(N117/H117,"")</f>
        <v/>
      </c>
      <c r="P117" s="15" t="str">
        <f aca="false">IF($A117="","",IF(COUNTIF($A$3:$A117,$A117)=1,SUMIF(cobranza!$B$3:$B$1000,$A117,cobranza!$D$3:$D$1000),"↑"))</f>
        <v/>
      </c>
      <c r="Q117" s="15" t="str">
        <f aca="false">IF($A117="","",IF(COUNTIF($A$3:$A117,$A117)=1,SUMIFS($H$3:$H$1000,$A$3:$A$1000,$A117,$C$3:$C$1000,"&lt;&gt;Demo")-P117,"↑"))</f>
        <v/>
      </c>
      <c r="R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5" t="n">
        <f aca="false">IFERROR(H118-G118,"")</f>
        <v>0</v>
      </c>
      <c r="O118" s="16" t="str">
        <f aca="false">IFERROR(N118/H118,"")</f>
        <v/>
      </c>
      <c r="P118" s="15" t="str">
        <f aca="false">IF($A118="","",IF(COUNTIF($A$3:$A118,$A118)=1,SUMIF(cobranza!$B$3:$B$1000,$A118,cobranza!$D$3:$D$1000),"↑"))</f>
        <v/>
      </c>
      <c r="Q118" s="15" t="str">
        <f aca="false">IF($A118="","",IF(COUNTIF($A$3:$A118,$A118)=1,SUMIFS($H$3:$H$1000,$A$3:$A$1000,$A118,$C$3:$C$1000,"&lt;&gt;Demo")-P118,"↑"))</f>
        <v/>
      </c>
      <c r="R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5" t="n">
        <f aca="false">IFERROR(H119-G119,"")</f>
        <v>0</v>
      </c>
      <c r="O119" s="16" t="str">
        <f aca="false">IFERROR(N119/H119,"")</f>
        <v/>
      </c>
      <c r="P119" s="15" t="str">
        <f aca="false">IF($A119="","",IF(COUNTIF($A$3:$A119,$A119)=1,SUMIF(cobranza!$B$3:$B$1000,$A119,cobranza!$D$3:$D$1000),"↑"))</f>
        <v/>
      </c>
      <c r="Q119" s="15" t="str">
        <f aca="false">IF($A119="","",IF(COUNTIF($A$3:$A119,$A119)=1,SUMIFS($H$3:$H$1000,$A$3:$A$1000,$A119,$C$3:$C$1000,"&lt;&gt;Demo")-P119,"↑"))</f>
        <v/>
      </c>
      <c r="R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5" t="n">
        <f aca="false">IFERROR(H120-G120,"")</f>
        <v>0</v>
      </c>
      <c r="O120" s="16" t="str">
        <f aca="false">IFERROR(N120/H120,"")</f>
        <v/>
      </c>
      <c r="P120" s="15" t="str">
        <f aca="false">IF($A120="","",IF(COUNTIF($A$3:$A120,$A120)=1,SUMIF(cobranza!$B$3:$B$1000,$A120,cobranza!$D$3:$D$1000),"↑"))</f>
        <v/>
      </c>
      <c r="Q120" s="15" t="str">
        <f aca="false">IF($A120="","",IF(COUNTIF($A$3:$A120,$A120)=1,SUMIFS($H$3:$H$1000,$A$3:$A$1000,$A120,$C$3:$C$1000,"&lt;&gt;Demo")-P120,"↑"))</f>
        <v/>
      </c>
      <c r="R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5" t="n">
        <f aca="false">IFERROR(H121-G121,"")</f>
        <v>0</v>
      </c>
      <c r="O121" s="16" t="str">
        <f aca="false">IFERROR(N121/H121,"")</f>
        <v/>
      </c>
      <c r="P121" s="15" t="str">
        <f aca="false">IF($A121="","",IF(COUNTIF($A$3:$A121,$A121)=1,SUMIF(cobranza!$B$3:$B$1000,$A121,cobranza!$D$3:$D$1000),"↑"))</f>
        <v/>
      </c>
      <c r="Q121" s="15" t="str">
        <f aca="false">IF($A121="","",IF(COUNTIF($A$3:$A121,$A121)=1,SUMIFS($H$3:$H$1000,$A$3:$A$1000,$A121,$C$3:$C$1000,"&lt;&gt;Demo")-P121,"↑"))</f>
        <v/>
      </c>
      <c r="R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5" t="n">
        <f aca="false">IFERROR(H122-G122,"")</f>
        <v>0</v>
      </c>
      <c r="O122" s="16" t="str">
        <f aca="false">IFERROR(N122/H122,"")</f>
        <v/>
      </c>
      <c r="P122" s="15" t="str">
        <f aca="false">IF($A122="","",IF(COUNTIF($A$3:$A122,$A122)=1,SUMIF(cobranza!$B$3:$B$1000,$A122,cobranza!$D$3:$D$1000),"↑"))</f>
        <v/>
      </c>
      <c r="Q122" s="15" t="str">
        <f aca="false">IF($A122="","",IF(COUNTIF($A$3:$A122,$A122)=1,SUMIFS($H$3:$H$1000,$A$3:$A$1000,$A122,$C$3:$C$1000,"&lt;&gt;Demo")-P122,"↑"))</f>
        <v/>
      </c>
      <c r="R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5" t="n">
        <f aca="false">IFERROR(H123-G123,"")</f>
        <v>0</v>
      </c>
      <c r="O123" s="16" t="str">
        <f aca="false">IFERROR(N123/H123,"")</f>
        <v/>
      </c>
      <c r="P123" s="15" t="str">
        <f aca="false">IF($A123="","",IF(COUNTIF($A$3:$A123,$A123)=1,SUMIF(cobranza!$B$3:$B$1000,$A123,cobranza!$D$3:$D$1000),"↑"))</f>
        <v/>
      </c>
      <c r="Q123" s="15" t="str">
        <f aca="false">IF($A123="","",IF(COUNTIF($A$3:$A123,$A123)=1,SUMIFS($H$3:$H$1000,$A$3:$A$1000,$A123,$C$3:$C$1000,"&lt;&gt;Demo")-P123,"↑"))</f>
        <v/>
      </c>
      <c r="R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5" t="n">
        <f aca="false">IFERROR(H124-G124,"")</f>
        <v>0</v>
      </c>
      <c r="O124" s="16" t="str">
        <f aca="false">IFERROR(N124/H124,"")</f>
        <v/>
      </c>
      <c r="P124" s="15" t="str">
        <f aca="false">IF($A124="","",IF(COUNTIF($A$3:$A124,$A124)=1,SUMIF(cobranza!$B$3:$B$1000,$A124,cobranza!$D$3:$D$1000),"↑"))</f>
        <v/>
      </c>
      <c r="Q124" s="15" t="str">
        <f aca="false">IF($A124="","",IF(COUNTIF($A$3:$A124,$A124)=1,SUMIFS($H$3:$H$1000,$A$3:$A$1000,$A124,$C$3:$C$1000,"&lt;&gt;Demo")-P124,"↑"))</f>
        <v/>
      </c>
      <c r="R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5" t="n">
        <f aca="false">IFERROR(H125-G125,"")</f>
        <v>0</v>
      </c>
      <c r="O125" s="16" t="str">
        <f aca="false">IFERROR(N125/H125,"")</f>
        <v/>
      </c>
      <c r="P125" s="15" t="str">
        <f aca="false">IF($A125="","",IF(COUNTIF($A$3:$A125,$A125)=1,SUMIF(cobranza!$B$3:$B$1000,$A125,cobranza!$D$3:$D$1000),"↑"))</f>
        <v/>
      </c>
      <c r="Q125" s="15" t="str">
        <f aca="false">IF($A125="","",IF(COUNTIF($A$3:$A125,$A125)=1,SUMIFS($H$3:$H$1000,$A$3:$A$1000,$A125,$C$3:$C$1000,"&lt;&gt;Demo")-P125,"↑"))</f>
        <v/>
      </c>
      <c r="R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5" t="n">
        <f aca="false">IFERROR(H126-G126,"")</f>
        <v>0</v>
      </c>
      <c r="O126" s="16" t="str">
        <f aca="false">IFERROR(N126/H126,"")</f>
        <v/>
      </c>
      <c r="P126" s="15" t="str">
        <f aca="false">IF($A126="","",IF(COUNTIF($A$3:$A126,$A126)=1,SUMIF(cobranza!$B$3:$B$1000,$A126,cobranza!$D$3:$D$1000),"↑"))</f>
        <v/>
      </c>
      <c r="Q126" s="15" t="str">
        <f aca="false">IF($A126="","",IF(COUNTIF($A$3:$A126,$A126)=1,SUMIFS($H$3:$H$1000,$A$3:$A$1000,$A126,$C$3:$C$1000,"&lt;&gt;Demo")-P126,"↑"))</f>
        <v/>
      </c>
      <c r="R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5" t="n">
        <f aca="false">IFERROR(H127-G127,"")</f>
        <v>0</v>
      </c>
      <c r="O127" s="16" t="str">
        <f aca="false">IFERROR(N127/H127,"")</f>
        <v/>
      </c>
      <c r="P127" s="15" t="str">
        <f aca="false">IF($A127="","",IF(COUNTIF($A$3:$A127,$A127)=1,SUMIF(cobranza!$B$3:$B$1000,$A127,cobranza!$D$3:$D$1000),"↑"))</f>
        <v/>
      </c>
      <c r="Q127" s="15" t="str">
        <f aca="false">IF($A127="","",IF(COUNTIF($A$3:$A127,$A127)=1,SUMIFS($H$3:$H$1000,$A$3:$A$1000,$A127,$C$3:$C$1000,"&lt;&gt;Demo")-P127,"↑"))</f>
        <v/>
      </c>
      <c r="R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5" t="n">
        <f aca="false">IFERROR(H128-G128,"")</f>
        <v>0</v>
      </c>
      <c r="O128" s="16" t="str">
        <f aca="false">IFERROR(N128/H128,"")</f>
        <v/>
      </c>
      <c r="P128" s="15" t="str">
        <f aca="false">IF($A128="","",IF(COUNTIF($A$3:$A128,$A128)=1,SUMIF(cobranza!$B$3:$B$1000,$A128,cobranza!$D$3:$D$1000),"↑"))</f>
        <v/>
      </c>
      <c r="Q128" s="15" t="str">
        <f aca="false">IF($A128="","",IF(COUNTIF($A$3:$A128,$A128)=1,SUMIFS($H$3:$H$1000,$A$3:$A$1000,$A128,$C$3:$C$1000,"&lt;&gt;Demo")-P128,"↑"))</f>
        <v/>
      </c>
      <c r="R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5" t="n">
        <f aca="false">IFERROR(H129-G129,"")</f>
        <v>0</v>
      </c>
      <c r="O129" s="16" t="str">
        <f aca="false">IFERROR(N129/H129,"")</f>
        <v/>
      </c>
      <c r="P129" s="15" t="str">
        <f aca="false">IF($A129="","",IF(COUNTIF($A$3:$A129,$A129)=1,SUMIF(cobranza!$B$3:$B$1000,$A129,cobranza!$D$3:$D$1000),"↑"))</f>
        <v/>
      </c>
      <c r="Q129" s="15" t="str">
        <f aca="false">IF($A129="","",IF(COUNTIF($A$3:$A129,$A129)=1,SUMIFS($H$3:$H$1000,$A$3:$A$1000,$A129,$C$3:$C$1000,"&lt;&gt;Demo")-P129,"↑"))</f>
        <v/>
      </c>
      <c r="R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5" t="n">
        <f aca="false">IFERROR(H130-G130,"")</f>
        <v>0</v>
      </c>
      <c r="O130" s="16" t="str">
        <f aca="false">IFERROR(N130/H130,"")</f>
        <v/>
      </c>
      <c r="P130" s="15" t="str">
        <f aca="false">IF($A130="","",IF(COUNTIF($A$3:$A130,$A130)=1,SUMIF(cobranza!$B$3:$B$1000,$A130,cobranza!$D$3:$D$1000),"↑"))</f>
        <v/>
      </c>
      <c r="Q130" s="15" t="str">
        <f aca="false">IF($A130="","",IF(COUNTIF($A$3:$A130,$A130)=1,SUMIFS($H$3:$H$1000,$A$3:$A$1000,$A130,$C$3:$C$1000,"&lt;&gt;Demo")-P130,"↑"))</f>
        <v/>
      </c>
      <c r="R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5" t="n">
        <f aca="false">IFERROR(H131-G131,"")</f>
        <v>0</v>
      </c>
      <c r="O131" s="16" t="str">
        <f aca="false">IFERROR(N131/H131,"")</f>
        <v/>
      </c>
      <c r="P131" s="15" t="str">
        <f aca="false">IF($A131="","",IF(COUNTIF($A$3:$A131,$A131)=1,SUMIF(cobranza!$B$3:$B$1000,$A131,cobranza!$D$3:$D$1000),"↑"))</f>
        <v/>
      </c>
      <c r="Q131" s="15" t="str">
        <f aca="false">IF($A131="","",IF(COUNTIF($A$3:$A131,$A131)=1,SUMIFS($H$3:$H$1000,$A$3:$A$1000,$A131,$C$3:$C$1000,"&lt;&gt;Demo")-P131,"↑"))</f>
        <v/>
      </c>
      <c r="R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5" t="n">
        <f aca="false">IFERROR(H132-G132,"")</f>
        <v>0</v>
      </c>
      <c r="O132" s="16" t="str">
        <f aca="false">IFERROR(N132/H132,"")</f>
        <v/>
      </c>
      <c r="P132" s="15" t="str">
        <f aca="false">IF($A132="","",IF(COUNTIF($A$3:$A132,$A132)=1,SUMIF(cobranza!$B$3:$B$1000,$A132,cobranza!$D$3:$D$1000),"↑"))</f>
        <v/>
      </c>
      <c r="Q132" s="15" t="str">
        <f aca="false">IF($A132="","",IF(COUNTIF($A$3:$A132,$A132)=1,SUMIFS($H$3:$H$1000,$A$3:$A$1000,$A132,$C$3:$C$1000,"&lt;&gt;Demo")-P132,"↑"))</f>
        <v/>
      </c>
      <c r="R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5" t="n">
        <f aca="false">IFERROR(H133-G133,"")</f>
        <v>0</v>
      </c>
      <c r="O133" s="16" t="str">
        <f aca="false">IFERROR(N133/H133,"")</f>
        <v/>
      </c>
      <c r="P133" s="15" t="str">
        <f aca="false">IF($A133="","",IF(COUNTIF($A$3:$A133,$A133)=1,SUMIF(cobranza!$B$3:$B$1000,$A133,cobranza!$D$3:$D$1000),"↑"))</f>
        <v/>
      </c>
      <c r="Q133" s="15" t="str">
        <f aca="false">IF($A133="","",IF(COUNTIF($A$3:$A133,$A133)=1,SUMIFS($H$3:$H$1000,$A$3:$A$1000,$A133,$C$3:$C$1000,"&lt;&gt;Demo")-P133,"↑"))</f>
        <v/>
      </c>
      <c r="R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5" t="n">
        <f aca="false">IFERROR(H134-G134,"")</f>
        <v>0</v>
      </c>
      <c r="O134" s="16" t="str">
        <f aca="false">IFERROR(N134/H134,"")</f>
        <v/>
      </c>
      <c r="P134" s="15" t="str">
        <f aca="false">IF($A134="","",IF(COUNTIF($A$3:$A134,$A134)=1,SUMIF(cobranza!$B$3:$B$1000,$A134,cobranza!$D$3:$D$1000),"↑"))</f>
        <v/>
      </c>
      <c r="Q134" s="15" t="str">
        <f aca="false">IF($A134="","",IF(COUNTIF($A$3:$A134,$A134)=1,SUMIFS($H$3:$H$1000,$A$3:$A$1000,$A134,$C$3:$C$1000,"&lt;&gt;Demo")-P134,"↑"))</f>
        <v/>
      </c>
      <c r="R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5" t="n">
        <f aca="false">IFERROR(H135-G135,"")</f>
        <v>0</v>
      </c>
      <c r="O135" s="16" t="str">
        <f aca="false">IFERROR(N135/H135,"")</f>
        <v/>
      </c>
      <c r="P135" s="15" t="str">
        <f aca="false">IF($A135="","",IF(COUNTIF($A$3:$A135,$A135)=1,SUMIF(cobranza!$B$3:$B$1000,$A135,cobranza!$D$3:$D$1000),"↑"))</f>
        <v/>
      </c>
      <c r="Q135" s="15" t="str">
        <f aca="false">IF($A135="","",IF(COUNTIF($A$3:$A135,$A135)=1,SUMIFS($H$3:$H$1000,$A$3:$A$1000,$A135,$C$3:$C$1000,"&lt;&gt;Demo")-P135,"↑"))</f>
        <v/>
      </c>
      <c r="R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5" t="n">
        <f aca="false">IFERROR(H136-G136,"")</f>
        <v>0</v>
      </c>
      <c r="O136" s="16" t="str">
        <f aca="false">IFERROR(N136/H136,"")</f>
        <v/>
      </c>
      <c r="P136" s="15" t="str">
        <f aca="false">IF($A136="","",IF(COUNTIF($A$3:$A136,$A136)=1,SUMIF(cobranza!$B$3:$B$1000,$A136,cobranza!$D$3:$D$1000),"↑"))</f>
        <v/>
      </c>
      <c r="Q136" s="15" t="str">
        <f aca="false">IF($A136="","",IF(COUNTIF($A$3:$A136,$A136)=1,SUMIFS($H$3:$H$1000,$A$3:$A$1000,$A136,$C$3:$C$1000,"&lt;&gt;Demo")-P136,"↑"))</f>
        <v/>
      </c>
      <c r="R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5" t="n">
        <f aca="false">IFERROR(H137-G137,"")</f>
        <v>0</v>
      </c>
      <c r="O137" s="16" t="str">
        <f aca="false">IFERROR(N137/H137,"")</f>
        <v/>
      </c>
      <c r="P137" s="15" t="str">
        <f aca="false">IF($A137="","",IF(COUNTIF($A$3:$A137,$A137)=1,SUMIF(cobranza!$B$3:$B$1000,$A137,cobranza!$D$3:$D$1000),"↑"))</f>
        <v/>
      </c>
      <c r="Q137" s="15" t="str">
        <f aca="false">IF($A137="","",IF(COUNTIF($A$3:$A137,$A137)=1,SUMIFS($H$3:$H$1000,$A$3:$A$1000,$A137,$C$3:$C$1000,"&lt;&gt;Demo")-P137,"↑"))</f>
        <v/>
      </c>
      <c r="R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5" t="n">
        <f aca="false">IFERROR(H138-G138,"")</f>
        <v>0</v>
      </c>
      <c r="O138" s="16" t="str">
        <f aca="false">IFERROR(N138/H138,"")</f>
        <v/>
      </c>
      <c r="P138" s="15" t="str">
        <f aca="false">IF($A138="","",IF(COUNTIF($A$3:$A138,$A138)=1,SUMIF(cobranza!$B$3:$B$1000,$A138,cobranza!$D$3:$D$1000),"↑"))</f>
        <v/>
      </c>
      <c r="Q138" s="15" t="str">
        <f aca="false">IF($A138="","",IF(COUNTIF($A$3:$A138,$A138)=1,SUMIFS($H$3:$H$1000,$A$3:$A$1000,$A138,$C$3:$C$1000,"&lt;&gt;Demo")-P138,"↑"))</f>
        <v/>
      </c>
      <c r="R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5" t="n">
        <f aca="false">IFERROR(H139-G139,"")</f>
        <v>0</v>
      </c>
      <c r="O139" s="16" t="str">
        <f aca="false">IFERROR(N139/H139,"")</f>
        <v/>
      </c>
      <c r="P139" s="15" t="str">
        <f aca="false">IF($A139="","",IF(COUNTIF($A$3:$A139,$A139)=1,SUMIF(cobranza!$B$3:$B$1000,$A139,cobranza!$D$3:$D$1000),"↑"))</f>
        <v/>
      </c>
      <c r="Q139" s="15" t="str">
        <f aca="false">IF($A139="","",IF(COUNTIF($A$3:$A139,$A139)=1,SUMIFS($H$3:$H$1000,$A$3:$A$1000,$A139,$C$3:$C$1000,"&lt;&gt;Demo")-P139,"↑"))</f>
        <v/>
      </c>
      <c r="R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5" t="n">
        <f aca="false">IFERROR(H140-G140,"")</f>
        <v>0</v>
      </c>
      <c r="O140" s="16" t="str">
        <f aca="false">IFERROR(N140/H140,"")</f>
        <v/>
      </c>
      <c r="P140" s="15" t="str">
        <f aca="false">IF($A140="","",IF(COUNTIF($A$3:$A140,$A140)=1,SUMIF(cobranza!$B$3:$B$1000,$A140,cobranza!$D$3:$D$1000),"↑"))</f>
        <v/>
      </c>
      <c r="Q140" s="15" t="str">
        <f aca="false">IF($A140="","",IF(COUNTIF($A$3:$A140,$A140)=1,SUMIFS($H$3:$H$1000,$A$3:$A$1000,$A140,$C$3:$C$1000,"&lt;&gt;Demo")-P140,"↑"))</f>
        <v/>
      </c>
      <c r="R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5" t="n">
        <f aca="false">IFERROR(H141-G141,"")</f>
        <v>0</v>
      </c>
      <c r="O141" s="16" t="str">
        <f aca="false">IFERROR(N141/H141,"")</f>
        <v/>
      </c>
      <c r="P141" s="15" t="str">
        <f aca="false">IF($A141="","",IF(COUNTIF($A$3:$A141,$A141)=1,SUMIF(cobranza!$B$3:$B$1000,$A141,cobranza!$D$3:$D$1000),"↑"))</f>
        <v/>
      </c>
      <c r="Q141" s="15" t="str">
        <f aca="false">IF($A141="","",IF(COUNTIF($A$3:$A141,$A141)=1,SUMIFS($H$3:$H$1000,$A$3:$A$1000,$A141,$C$3:$C$1000,"&lt;&gt;Demo")-P141,"↑"))</f>
        <v/>
      </c>
      <c r="R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5" t="n">
        <f aca="false">IFERROR(H142-G142,"")</f>
        <v>0</v>
      </c>
      <c r="O142" s="16" t="str">
        <f aca="false">IFERROR(N142/H142,"")</f>
        <v/>
      </c>
      <c r="P142" s="15" t="str">
        <f aca="false">IF($A142="","",IF(COUNTIF($A$3:$A142,$A142)=1,SUMIF(cobranza!$B$3:$B$1000,$A142,cobranza!$D$3:$D$1000),"↑"))</f>
        <v/>
      </c>
      <c r="Q142" s="15" t="str">
        <f aca="false">IF($A142="","",IF(COUNTIF($A$3:$A142,$A142)=1,SUMIFS($H$3:$H$1000,$A$3:$A$1000,$A142,$C$3:$C$1000,"&lt;&gt;Demo")-P142,"↑"))</f>
        <v/>
      </c>
      <c r="R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5" t="n">
        <f aca="false">IFERROR(H143-G143,"")</f>
        <v>0</v>
      </c>
      <c r="O143" s="16" t="str">
        <f aca="false">IFERROR(N143/H143,"")</f>
        <v/>
      </c>
      <c r="P143" s="15" t="str">
        <f aca="false">IF($A143="","",IF(COUNTIF($A$3:$A143,$A143)=1,SUMIF(cobranza!$B$3:$B$1000,$A143,cobranza!$D$3:$D$1000),"↑"))</f>
        <v/>
      </c>
      <c r="Q143" s="15" t="str">
        <f aca="false">IF($A143="","",IF(COUNTIF($A$3:$A143,$A143)=1,SUMIFS($H$3:$H$1000,$A$3:$A$1000,$A143,$C$3:$C$1000,"&lt;&gt;Demo")-P143,"↑"))</f>
        <v/>
      </c>
      <c r="R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5" t="n">
        <f aca="false">IFERROR(H144-G144,"")</f>
        <v>0</v>
      </c>
      <c r="O144" s="16" t="str">
        <f aca="false">IFERROR(N144/H144,"")</f>
        <v/>
      </c>
      <c r="P144" s="15" t="str">
        <f aca="false">IF($A144="","",IF(COUNTIF($A$3:$A144,$A144)=1,SUMIF(cobranza!$B$3:$B$1000,$A144,cobranza!$D$3:$D$1000),"↑"))</f>
        <v/>
      </c>
      <c r="Q144" s="15" t="str">
        <f aca="false">IF($A144="","",IF(COUNTIF($A$3:$A144,$A144)=1,SUMIFS($H$3:$H$1000,$A$3:$A$1000,$A144,$C$3:$C$1000,"&lt;&gt;Demo")-P144,"↑"))</f>
        <v/>
      </c>
      <c r="R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5" t="n">
        <f aca="false">IFERROR(H145-G145,"")</f>
        <v>0</v>
      </c>
      <c r="O145" s="16" t="str">
        <f aca="false">IFERROR(N145/H145,"")</f>
        <v/>
      </c>
      <c r="P145" s="15" t="str">
        <f aca="false">IF($A145="","",IF(COUNTIF($A$3:$A145,$A145)=1,SUMIF(cobranza!$B$3:$B$1000,$A145,cobranza!$D$3:$D$1000),"↑"))</f>
        <v/>
      </c>
      <c r="Q145" s="15" t="str">
        <f aca="false">IF($A145="","",IF(COUNTIF($A$3:$A145,$A145)=1,SUMIFS($H$3:$H$1000,$A$3:$A$1000,$A145,$C$3:$C$1000,"&lt;&gt;Demo")-P145,"↑"))</f>
        <v/>
      </c>
      <c r="R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5" t="n">
        <f aca="false">IFERROR(H146-G146,"")</f>
        <v>0</v>
      </c>
      <c r="O146" s="16" t="str">
        <f aca="false">IFERROR(N146/H146,"")</f>
        <v/>
      </c>
      <c r="P146" s="15" t="str">
        <f aca="false">IF($A146="","",IF(COUNTIF($A$3:$A146,$A146)=1,SUMIF(cobranza!$B$3:$B$1000,$A146,cobranza!$D$3:$D$1000),"↑"))</f>
        <v/>
      </c>
      <c r="Q146" s="15" t="str">
        <f aca="false">IF($A146="","",IF(COUNTIF($A$3:$A146,$A146)=1,SUMIFS($H$3:$H$1000,$A$3:$A$1000,$A146,$C$3:$C$1000,"&lt;&gt;Demo")-P146,"↑"))</f>
        <v/>
      </c>
      <c r="R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5" t="n">
        <f aca="false">IFERROR(H147-G147,"")</f>
        <v>0</v>
      </c>
      <c r="O147" s="16" t="str">
        <f aca="false">IFERROR(N147/H147,"")</f>
        <v/>
      </c>
      <c r="P147" s="15" t="str">
        <f aca="false">IF($A147="","",IF(COUNTIF($A$3:$A147,$A147)=1,SUMIF(cobranza!$B$3:$B$1000,$A147,cobranza!$D$3:$D$1000),"↑"))</f>
        <v/>
      </c>
      <c r="Q147" s="15" t="str">
        <f aca="false">IF($A147="","",IF(COUNTIF($A$3:$A147,$A147)=1,SUMIFS($H$3:$H$1000,$A$3:$A$1000,$A147,$C$3:$C$1000,"&lt;&gt;Demo")-P147,"↑"))</f>
        <v/>
      </c>
      <c r="R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5" t="n">
        <f aca="false">IFERROR(H148-G148,"")</f>
        <v>0</v>
      </c>
      <c r="O148" s="16" t="str">
        <f aca="false">IFERROR(N148/H148,"")</f>
        <v/>
      </c>
      <c r="P148" s="15" t="str">
        <f aca="false">IF($A148="","",IF(COUNTIF($A$3:$A148,$A148)=1,SUMIF(cobranza!$B$3:$B$1000,$A148,cobranza!$D$3:$D$1000),"↑"))</f>
        <v/>
      </c>
      <c r="Q148" s="15" t="str">
        <f aca="false">IF($A148="","",IF(COUNTIF($A$3:$A148,$A148)=1,SUMIFS($H$3:$H$1000,$A$3:$A$1000,$A148,$C$3:$C$1000,"&lt;&gt;Demo")-P148,"↑"))</f>
        <v/>
      </c>
      <c r="R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5" t="n">
        <f aca="false">IFERROR(H149-G149,"")</f>
        <v>0</v>
      </c>
      <c r="O149" s="16" t="str">
        <f aca="false">IFERROR(N149/H149,"")</f>
        <v/>
      </c>
      <c r="P149" s="15" t="str">
        <f aca="false">IF($A149="","",IF(COUNTIF($A$3:$A149,$A149)=1,SUMIF(cobranza!$B$3:$B$1000,$A149,cobranza!$D$3:$D$1000),"↑"))</f>
        <v/>
      </c>
      <c r="Q149" s="15" t="str">
        <f aca="false">IF($A149="","",IF(COUNTIF($A$3:$A149,$A149)=1,SUMIFS($H$3:$H$1000,$A$3:$A$1000,$A149,$C$3:$C$1000,"&lt;&gt;Demo")-P149,"↑"))</f>
        <v/>
      </c>
      <c r="R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5" t="n">
        <f aca="false">IFERROR(H150-G150,"")</f>
        <v>0</v>
      </c>
      <c r="O150" s="16" t="str">
        <f aca="false">IFERROR(N150/H150,"")</f>
        <v/>
      </c>
      <c r="P150" s="15" t="str">
        <f aca="false">IF($A150="","",IF(COUNTIF($A$3:$A150,$A150)=1,SUMIF(cobranza!$B$3:$B$1000,$A150,cobranza!$D$3:$D$1000),"↑"))</f>
        <v/>
      </c>
      <c r="Q150" s="15" t="str">
        <f aca="false">IF($A150="","",IF(COUNTIF($A$3:$A150,$A150)=1,SUMIFS($H$3:$H$1000,$A$3:$A$1000,$A150,$C$3:$C$1000,"&lt;&gt;Demo")-P150,"↑"))</f>
        <v/>
      </c>
      <c r="R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5" t="n">
        <f aca="false">IFERROR(H151-G151,"")</f>
        <v>0</v>
      </c>
      <c r="O151" s="16" t="str">
        <f aca="false">IFERROR(N151/H151,"")</f>
        <v/>
      </c>
      <c r="P151" s="15" t="str">
        <f aca="false">IF($A151="","",IF(COUNTIF($A$3:$A151,$A151)=1,SUMIF(cobranza!$B$3:$B$1000,$A151,cobranza!$D$3:$D$1000),"↑"))</f>
        <v/>
      </c>
      <c r="Q151" s="15" t="str">
        <f aca="false">IF($A151="","",IF(COUNTIF($A$3:$A151,$A151)=1,SUMIFS($H$3:$H$1000,$A$3:$A$1000,$A151,$C$3:$C$1000,"&lt;&gt;Demo")-P151,"↑"))</f>
        <v/>
      </c>
      <c r="R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5" t="n">
        <f aca="false">IFERROR(H152-G152,"")</f>
        <v>0</v>
      </c>
      <c r="O152" s="16" t="str">
        <f aca="false">IFERROR(N152/H152,"")</f>
        <v/>
      </c>
      <c r="P152" s="15" t="str">
        <f aca="false">IF($A152="","",IF(COUNTIF($A$3:$A152,$A152)=1,SUMIF(cobranza!$B$3:$B$1000,$A152,cobranza!$D$3:$D$1000),"↑"))</f>
        <v/>
      </c>
      <c r="Q152" s="15" t="str">
        <f aca="false">IF($A152="","",IF(COUNTIF($A$3:$A152,$A152)=1,SUMIFS($H$3:$H$1000,$A$3:$A$1000,$A152,$C$3:$C$1000,"&lt;&gt;Demo")-P152,"↑"))</f>
        <v/>
      </c>
      <c r="R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5" t="n">
        <f aca="false">IFERROR(H153-G153,"")</f>
        <v>0</v>
      </c>
      <c r="O153" s="16" t="str">
        <f aca="false">IFERROR(N153/H153,"")</f>
        <v/>
      </c>
      <c r="P153" s="15" t="str">
        <f aca="false">IF($A153="","",IF(COUNTIF($A$3:$A153,$A153)=1,SUMIF(cobranza!$B$3:$B$1000,$A153,cobranza!$D$3:$D$1000),"↑"))</f>
        <v/>
      </c>
      <c r="Q153" s="15" t="str">
        <f aca="false">IF($A153="","",IF(COUNTIF($A$3:$A153,$A153)=1,SUMIFS($H$3:$H$1000,$A$3:$A$1000,$A153,$C$3:$C$1000,"&lt;&gt;Demo")-P153,"↑"))</f>
        <v/>
      </c>
      <c r="R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5" t="n">
        <f aca="false">IFERROR(H154-G154,"")</f>
        <v>0</v>
      </c>
      <c r="O154" s="16" t="str">
        <f aca="false">IFERROR(N154/H154,"")</f>
        <v/>
      </c>
      <c r="P154" s="15" t="str">
        <f aca="false">IF($A154="","",IF(COUNTIF($A$3:$A154,$A154)=1,SUMIF(cobranza!$B$3:$B$1000,$A154,cobranza!$D$3:$D$1000),"↑"))</f>
        <v/>
      </c>
      <c r="Q154" s="15" t="str">
        <f aca="false">IF($A154="","",IF(COUNTIF($A$3:$A154,$A154)=1,SUMIFS($H$3:$H$1000,$A$3:$A$1000,$A154,$C$3:$C$1000,"&lt;&gt;Demo")-P154,"↑"))</f>
        <v/>
      </c>
      <c r="R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5" t="n">
        <f aca="false">IFERROR(H155-G155,"")</f>
        <v>0</v>
      </c>
      <c r="O155" s="16" t="str">
        <f aca="false">IFERROR(N155/H155,"")</f>
        <v/>
      </c>
      <c r="P155" s="15" t="str">
        <f aca="false">IF($A155="","",IF(COUNTIF($A$3:$A155,$A155)=1,SUMIF(cobranza!$B$3:$B$1000,$A155,cobranza!$D$3:$D$1000),"↑"))</f>
        <v/>
      </c>
      <c r="Q155" s="15" t="str">
        <f aca="false">IF($A155="","",IF(COUNTIF($A$3:$A155,$A155)=1,SUMIFS($H$3:$H$1000,$A$3:$A$1000,$A155,$C$3:$C$1000,"&lt;&gt;Demo")-P155,"↑"))</f>
        <v/>
      </c>
      <c r="R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5" t="n">
        <f aca="false">IFERROR(H156-G156,"")</f>
        <v>0</v>
      </c>
      <c r="O156" s="16" t="str">
        <f aca="false">IFERROR(N156/H156,"")</f>
        <v/>
      </c>
      <c r="P156" s="15" t="str">
        <f aca="false">IF($A156="","",IF(COUNTIF($A$3:$A156,$A156)=1,SUMIF(cobranza!$B$3:$B$1000,$A156,cobranza!$D$3:$D$1000),"↑"))</f>
        <v/>
      </c>
      <c r="Q156" s="15" t="str">
        <f aca="false">IF($A156="","",IF(COUNTIF($A$3:$A156,$A156)=1,SUMIFS($H$3:$H$1000,$A$3:$A$1000,$A156,$C$3:$C$1000,"&lt;&gt;Demo")-P156,"↑"))</f>
        <v/>
      </c>
      <c r="R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5" t="n">
        <f aca="false">IFERROR(H157-G157,"")</f>
        <v>0</v>
      </c>
      <c r="O157" s="16" t="str">
        <f aca="false">IFERROR(N157/H157,"")</f>
        <v/>
      </c>
      <c r="P157" s="15" t="str">
        <f aca="false">IF($A157="","",IF(COUNTIF($A$3:$A157,$A157)=1,SUMIF(cobranza!$B$3:$B$1000,$A157,cobranza!$D$3:$D$1000),"↑"))</f>
        <v/>
      </c>
      <c r="Q157" s="15" t="str">
        <f aca="false">IF($A157="","",IF(COUNTIF($A$3:$A157,$A157)=1,SUMIFS($H$3:$H$1000,$A$3:$A$1000,$A157,$C$3:$C$1000,"&lt;&gt;Demo")-P157,"↑"))</f>
        <v/>
      </c>
      <c r="R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5" t="n">
        <f aca="false">IFERROR(H158-G158,"")</f>
        <v>0</v>
      </c>
      <c r="O158" s="16" t="str">
        <f aca="false">IFERROR(N158/H158,"")</f>
        <v/>
      </c>
      <c r="P158" s="15" t="str">
        <f aca="false">IF($A158="","",IF(COUNTIF($A$3:$A158,$A158)=1,SUMIF(cobranza!$B$3:$B$1000,$A158,cobranza!$D$3:$D$1000),"↑"))</f>
        <v/>
      </c>
      <c r="Q158" s="15" t="str">
        <f aca="false">IF($A158="","",IF(COUNTIF($A$3:$A158,$A158)=1,SUMIFS($H$3:$H$1000,$A$3:$A$1000,$A158,$C$3:$C$1000,"&lt;&gt;Demo")-P158,"↑"))</f>
        <v/>
      </c>
      <c r="R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5" t="n">
        <f aca="false">IFERROR(H159-G159,"")</f>
        <v>0</v>
      </c>
      <c r="O159" s="16" t="str">
        <f aca="false">IFERROR(N159/H159,"")</f>
        <v/>
      </c>
      <c r="P159" s="15" t="str">
        <f aca="false">IF($A159="","",IF(COUNTIF($A$3:$A159,$A159)=1,SUMIF(cobranza!$B$3:$B$1000,$A159,cobranza!$D$3:$D$1000),"↑"))</f>
        <v/>
      </c>
      <c r="Q159" s="15" t="str">
        <f aca="false">IF($A159="","",IF(COUNTIF($A$3:$A159,$A159)=1,SUMIFS($H$3:$H$1000,$A$3:$A$1000,$A159,$C$3:$C$1000,"&lt;&gt;Demo")-P159,"↑"))</f>
        <v/>
      </c>
      <c r="R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5" t="n">
        <f aca="false">IFERROR(H160-G160,"")</f>
        <v>0</v>
      </c>
      <c r="O160" s="16" t="str">
        <f aca="false">IFERROR(N160/H160,"")</f>
        <v/>
      </c>
      <c r="P160" s="15" t="str">
        <f aca="false">IF($A160="","",IF(COUNTIF($A$3:$A160,$A160)=1,SUMIF(cobranza!$B$3:$B$1000,$A160,cobranza!$D$3:$D$1000),"↑"))</f>
        <v/>
      </c>
      <c r="Q160" s="15" t="str">
        <f aca="false">IF($A160="","",IF(COUNTIF($A$3:$A160,$A160)=1,SUMIFS($H$3:$H$1000,$A$3:$A$1000,$A160,$C$3:$C$1000,"&lt;&gt;Demo")-P160,"↑"))</f>
        <v/>
      </c>
      <c r="R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5" t="n">
        <f aca="false">IFERROR(H161-G161,"")</f>
        <v>0</v>
      </c>
      <c r="O161" s="16" t="str">
        <f aca="false">IFERROR(N161/H161,"")</f>
        <v/>
      </c>
      <c r="P161" s="15" t="str">
        <f aca="false">IF($A161="","",IF(COUNTIF($A$3:$A161,$A161)=1,SUMIF(cobranza!$B$3:$B$1000,$A161,cobranza!$D$3:$D$1000),"↑"))</f>
        <v/>
      </c>
      <c r="Q161" s="15" t="str">
        <f aca="false">IF($A161="","",IF(COUNTIF($A$3:$A161,$A161)=1,SUMIFS($H$3:$H$1000,$A$3:$A$1000,$A161,$C$3:$C$1000,"&lt;&gt;Demo")-P161,"↑"))</f>
        <v/>
      </c>
      <c r="R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5" t="n">
        <f aca="false">IFERROR(H162-G162,"")</f>
        <v>0</v>
      </c>
      <c r="O162" s="16" t="str">
        <f aca="false">IFERROR(N162/H162,"")</f>
        <v/>
      </c>
      <c r="P162" s="15" t="str">
        <f aca="false">IF($A162="","",IF(COUNTIF($A$3:$A162,$A162)=1,SUMIF(cobranza!$B$3:$B$1000,$A162,cobranza!$D$3:$D$1000),"↑"))</f>
        <v/>
      </c>
      <c r="Q162" s="15" t="str">
        <f aca="false">IF($A162="","",IF(COUNTIF($A$3:$A162,$A162)=1,SUMIFS($H$3:$H$1000,$A$3:$A$1000,$A162,$C$3:$C$1000,"&lt;&gt;Demo")-P162,"↑"))</f>
        <v/>
      </c>
      <c r="R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5" t="n">
        <f aca="false">IFERROR(H163-G163,"")</f>
        <v>0</v>
      </c>
      <c r="O163" s="16" t="str">
        <f aca="false">IFERROR(N163/H163,"")</f>
        <v/>
      </c>
      <c r="P163" s="15" t="str">
        <f aca="false">IF($A163="","",IF(COUNTIF($A$3:$A163,$A163)=1,SUMIF(cobranza!$B$3:$B$1000,$A163,cobranza!$D$3:$D$1000),"↑"))</f>
        <v/>
      </c>
      <c r="Q163" s="15" t="str">
        <f aca="false">IF($A163="","",IF(COUNTIF($A$3:$A163,$A163)=1,SUMIFS($H$3:$H$1000,$A$3:$A$1000,$A163,$C$3:$C$1000,"&lt;&gt;Demo")-P163,"↑"))</f>
        <v/>
      </c>
      <c r="R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5" t="n">
        <f aca="false">IFERROR(H164-G164,"")</f>
        <v>0</v>
      </c>
      <c r="O164" s="16" t="str">
        <f aca="false">IFERROR(N164/H164,"")</f>
        <v/>
      </c>
      <c r="P164" s="15" t="str">
        <f aca="false">IF($A164="","",IF(COUNTIF($A$3:$A164,$A164)=1,SUMIF(cobranza!$B$3:$B$1000,$A164,cobranza!$D$3:$D$1000),"↑"))</f>
        <v/>
      </c>
      <c r="Q164" s="15" t="str">
        <f aca="false">IF($A164="","",IF(COUNTIF($A$3:$A164,$A164)=1,SUMIFS($H$3:$H$1000,$A$3:$A$1000,$A164,$C$3:$C$1000,"&lt;&gt;Demo")-P164,"↑"))</f>
        <v/>
      </c>
      <c r="R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5" t="n">
        <f aca="false">IFERROR(H165-G165,"")</f>
        <v>0</v>
      </c>
      <c r="O165" s="16" t="str">
        <f aca="false">IFERROR(N165/H165,"")</f>
        <v/>
      </c>
      <c r="P165" s="15" t="str">
        <f aca="false">IF($A165="","",IF(COUNTIF($A$3:$A165,$A165)=1,SUMIF(cobranza!$B$3:$B$1000,$A165,cobranza!$D$3:$D$1000),"↑"))</f>
        <v/>
      </c>
      <c r="Q165" s="15" t="str">
        <f aca="false">IF($A165="","",IF(COUNTIF($A$3:$A165,$A165)=1,SUMIFS($H$3:$H$1000,$A$3:$A$1000,$A165,$C$3:$C$1000,"&lt;&gt;Demo")-P165,"↑"))</f>
        <v/>
      </c>
      <c r="R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5" t="n">
        <f aca="false">IFERROR(H166-G166,"")</f>
        <v>0</v>
      </c>
      <c r="O166" s="16" t="str">
        <f aca="false">IFERROR(N166/H166,"")</f>
        <v/>
      </c>
      <c r="P166" s="15" t="str">
        <f aca="false">IF($A166="","",IF(COUNTIF($A$3:$A166,$A166)=1,SUMIF(cobranza!$B$3:$B$1000,$A166,cobranza!$D$3:$D$1000),"↑"))</f>
        <v/>
      </c>
      <c r="Q166" s="15" t="str">
        <f aca="false">IF($A166="","",IF(COUNTIF($A$3:$A166,$A166)=1,SUMIFS($H$3:$H$1000,$A$3:$A$1000,$A166,$C$3:$C$1000,"&lt;&gt;Demo")-P166,"↑"))</f>
        <v/>
      </c>
      <c r="R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5" t="n">
        <f aca="false">IFERROR(H167-G167,"")</f>
        <v>0</v>
      </c>
      <c r="O167" s="16" t="str">
        <f aca="false">IFERROR(N167/H167,"")</f>
        <v/>
      </c>
      <c r="P167" s="15" t="str">
        <f aca="false">IF($A167="","",IF(COUNTIF($A$3:$A167,$A167)=1,SUMIF(cobranza!$B$3:$B$1000,$A167,cobranza!$D$3:$D$1000),"↑"))</f>
        <v/>
      </c>
      <c r="Q167" s="15" t="str">
        <f aca="false">IF($A167="","",IF(COUNTIF($A$3:$A167,$A167)=1,SUMIFS($H$3:$H$1000,$A$3:$A$1000,$A167,$C$3:$C$1000,"&lt;&gt;Demo")-P167,"↑"))</f>
        <v/>
      </c>
      <c r="R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5" t="n">
        <f aca="false">IFERROR(H168-G168,"")</f>
        <v>0</v>
      </c>
      <c r="O168" s="16" t="str">
        <f aca="false">IFERROR(N168/H168,"")</f>
        <v/>
      </c>
      <c r="P168" s="15" t="str">
        <f aca="false">IF($A168="","",IF(COUNTIF($A$3:$A168,$A168)=1,SUMIF(cobranza!$B$3:$B$1000,$A168,cobranza!$D$3:$D$1000),"↑"))</f>
        <v/>
      </c>
      <c r="Q168" s="15" t="str">
        <f aca="false">IF($A168="","",IF(COUNTIF($A$3:$A168,$A168)=1,SUMIFS($H$3:$H$1000,$A$3:$A$1000,$A168,$C$3:$C$1000,"&lt;&gt;Demo")-P168,"↑"))</f>
        <v/>
      </c>
      <c r="R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5" t="n">
        <f aca="false">IFERROR(H169-G169,"")</f>
        <v>0</v>
      </c>
      <c r="O169" s="16" t="str">
        <f aca="false">IFERROR(N169/H169,"")</f>
        <v/>
      </c>
      <c r="P169" s="15" t="str">
        <f aca="false">IF($A169="","",IF(COUNTIF($A$3:$A169,$A169)=1,SUMIF(cobranza!$B$3:$B$1000,$A169,cobranza!$D$3:$D$1000),"↑"))</f>
        <v/>
      </c>
      <c r="Q169" s="15" t="str">
        <f aca="false">IF($A169="","",IF(COUNTIF($A$3:$A169,$A169)=1,SUMIFS($H$3:$H$1000,$A$3:$A$1000,$A169,$C$3:$C$1000,"&lt;&gt;Demo")-P169,"↑"))</f>
        <v/>
      </c>
      <c r="R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5" t="n">
        <f aca="false">IFERROR(H170-G170,"")</f>
        <v>0</v>
      </c>
      <c r="O170" s="16" t="str">
        <f aca="false">IFERROR(N170/H170,"")</f>
        <v/>
      </c>
      <c r="P170" s="15" t="str">
        <f aca="false">IF($A170="","",IF(COUNTIF($A$3:$A170,$A170)=1,SUMIF(cobranza!$B$3:$B$1000,$A170,cobranza!$D$3:$D$1000),"↑"))</f>
        <v/>
      </c>
      <c r="Q170" s="15" t="str">
        <f aca="false">IF($A170="","",IF(COUNTIF($A$3:$A170,$A170)=1,SUMIFS($H$3:$H$1000,$A$3:$A$1000,$A170,$C$3:$C$1000,"&lt;&gt;Demo")-P170,"↑"))</f>
        <v/>
      </c>
      <c r="R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5" t="n">
        <f aca="false">IFERROR(H171-G171,"")</f>
        <v>0</v>
      </c>
      <c r="O171" s="16" t="str">
        <f aca="false">IFERROR(N171/H171,"")</f>
        <v/>
      </c>
      <c r="P171" s="15" t="str">
        <f aca="false">IF($A171="","",IF(COUNTIF($A$3:$A171,$A171)=1,SUMIF(cobranza!$B$3:$B$1000,$A171,cobranza!$D$3:$D$1000),"↑"))</f>
        <v/>
      </c>
      <c r="Q171" s="15" t="str">
        <f aca="false">IF($A171="","",IF(COUNTIF($A$3:$A171,$A171)=1,SUMIFS($H$3:$H$1000,$A$3:$A$1000,$A171,$C$3:$C$1000,"&lt;&gt;Demo")-P171,"↑"))</f>
        <v/>
      </c>
      <c r="R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5" t="n">
        <f aca="false">IFERROR(H172-G172,"")</f>
        <v>0</v>
      </c>
      <c r="O172" s="16" t="str">
        <f aca="false">IFERROR(N172/H172,"")</f>
        <v/>
      </c>
      <c r="P172" s="15" t="str">
        <f aca="false">IF($A172="","",IF(COUNTIF($A$3:$A172,$A172)=1,SUMIF(cobranza!$B$3:$B$1000,$A172,cobranza!$D$3:$D$1000),"↑"))</f>
        <v/>
      </c>
      <c r="Q172" s="15" t="str">
        <f aca="false">IF($A172="","",IF(COUNTIF($A$3:$A172,$A172)=1,SUMIFS($H$3:$H$1000,$A$3:$A$1000,$A172,$C$3:$C$1000,"&lt;&gt;Demo")-P172,"↑"))</f>
        <v/>
      </c>
      <c r="R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5" t="n">
        <f aca="false">IFERROR(H173-G173,"")</f>
        <v>0</v>
      </c>
      <c r="O173" s="16" t="str">
        <f aca="false">IFERROR(N173/H173,"")</f>
        <v/>
      </c>
      <c r="P173" s="15" t="str">
        <f aca="false">IF($A173="","",IF(COUNTIF($A$3:$A173,$A173)=1,SUMIF(cobranza!$B$3:$B$1000,$A173,cobranza!$D$3:$D$1000),"↑"))</f>
        <v/>
      </c>
      <c r="Q173" s="15" t="str">
        <f aca="false">IF($A173="","",IF(COUNTIF($A$3:$A173,$A173)=1,SUMIFS($H$3:$H$1000,$A$3:$A$1000,$A173,$C$3:$C$1000,"&lt;&gt;Demo")-P173,"↑"))</f>
        <v/>
      </c>
      <c r="R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5" t="n">
        <f aca="false">IFERROR(H174-G174,"")</f>
        <v>0</v>
      </c>
      <c r="O174" s="16" t="str">
        <f aca="false">IFERROR(N174/H174,"")</f>
        <v/>
      </c>
      <c r="P174" s="15" t="str">
        <f aca="false">IF($A174="","",IF(COUNTIF($A$3:$A174,$A174)=1,SUMIF(cobranza!$B$3:$B$1000,$A174,cobranza!$D$3:$D$1000),"↑"))</f>
        <v/>
      </c>
      <c r="Q174" s="15" t="str">
        <f aca="false">IF($A174="","",IF(COUNTIF($A$3:$A174,$A174)=1,SUMIFS($H$3:$H$1000,$A$3:$A$1000,$A174,$C$3:$C$1000,"&lt;&gt;Demo")-P174,"↑"))</f>
        <v/>
      </c>
      <c r="R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5" t="n">
        <f aca="false">IFERROR(H175-G175,"")</f>
        <v>0</v>
      </c>
      <c r="O175" s="16" t="str">
        <f aca="false">IFERROR(N175/H175,"")</f>
        <v/>
      </c>
      <c r="P175" s="15" t="str">
        <f aca="false">IF($A175="","",IF(COUNTIF($A$3:$A175,$A175)=1,SUMIF(cobranza!$B$3:$B$1000,$A175,cobranza!$D$3:$D$1000),"↑"))</f>
        <v/>
      </c>
      <c r="Q175" s="15" t="str">
        <f aca="false">IF($A175="","",IF(COUNTIF($A$3:$A175,$A175)=1,SUMIFS($H$3:$H$1000,$A$3:$A$1000,$A175,$C$3:$C$1000,"&lt;&gt;Demo")-P175,"↑"))</f>
        <v/>
      </c>
      <c r="R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5" t="n">
        <f aca="false">IFERROR(H176-G176,"")</f>
        <v>0</v>
      </c>
      <c r="O176" s="16" t="str">
        <f aca="false">IFERROR(N176/H176,"")</f>
        <v/>
      </c>
      <c r="P176" s="15" t="str">
        <f aca="false">IF($A176="","",IF(COUNTIF($A$3:$A176,$A176)=1,SUMIF(cobranza!$B$3:$B$1000,$A176,cobranza!$D$3:$D$1000),"↑"))</f>
        <v/>
      </c>
      <c r="Q176" s="15" t="str">
        <f aca="false">IF($A176="","",IF(COUNTIF($A$3:$A176,$A176)=1,SUMIFS($H$3:$H$1000,$A$3:$A$1000,$A176,$C$3:$C$1000,"&lt;&gt;Demo")-P176,"↑"))</f>
        <v/>
      </c>
      <c r="R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5" t="n">
        <f aca="false">IFERROR(H177-G177,"")</f>
        <v>0</v>
      </c>
      <c r="O177" s="16" t="str">
        <f aca="false">IFERROR(N177/H177,"")</f>
        <v/>
      </c>
      <c r="P177" s="15" t="str">
        <f aca="false">IF($A177="","",IF(COUNTIF($A$3:$A177,$A177)=1,SUMIF(cobranza!$B$3:$B$1000,$A177,cobranza!$D$3:$D$1000),"↑"))</f>
        <v/>
      </c>
      <c r="Q177" s="15" t="str">
        <f aca="false">IF($A177="","",IF(COUNTIF($A$3:$A177,$A177)=1,SUMIFS($H$3:$H$1000,$A$3:$A$1000,$A177,$C$3:$C$1000,"&lt;&gt;Demo")-P177,"↑"))</f>
        <v/>
      </c>
      <c r="R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5" t="n">
        <f aca="false">IFERROR(H178-G178,"")</f>
        <v>0</v>
      </c>
      <c r="O178" s="16" t="str">
        <f aca="false">IFERROR(N178/H178,"")</f>
        <v/>
      </c>
      <c r="P178" s="15" t="str">
        <f aca="false">IF($A178="","",IF(COUNTIF($A$3:$A178,$A178)=1,SUMIF(cobranza!$B$3:$B$1000,$A178,cobranza!$D$3:$D$1000),"↑"))</f>
        <v/>
      </c>
      <c r="Q178" s="15" t="str">
        <f aca="false">IF($A178="","",IF(COUNTIF($A$3:$A178,$A178)=1,SUMIFS($H$3:$H$1000,$A$3:$A$1000,$A178,$C$3:$C$1000,"&lt;&gt;Demo")-P178,"↑"))</f>
        <v/>
      </c>
      <c r="R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5" t="n">
        <f aca="false">IFERROR(H179-G179,"")</f>
        <v>0</v>
      </c>
      <c r="O179" s="16" t="str">
        <f aca="false">IFERROR(N179/H179,"")</f>
        <v/>
      </c>
      <c r="P179" s="15" t="str">
        <f aca="false">IF($A179="","",IF(COUNTIF($A$3:$A179,$A179)=1,SUMIF(cobranza!$B$3:$B$1000,$A179,cobranza!$D$3:$D$1000),"↑"))</f>
        <v/>
      </c>
      <c r="Q179" s="15" t="str">
        <f aca="false">IF($A179="","",IF(COUNTIF($A$3:$A179,$A179)=1,SUMIFS($H$3:$H$1000,$A$3:$A$1000,$A179,$C$3:$C$1000,"&lt;&gt;Demo")-P179,"↑"))</f>
        <v/>
      </c>
      <c r="R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5" t="n">
        <f aca="false">IFERROR(H180-G180,"")</f>
        <v>0</v>
      </c>
      <c r="O180" s="16" t="str">
        <f aca="false">IFERROR(N180/H180,"")</f>
        <v/>
      </c>
      <c r="P180" s="15" t="str">
        <f aca="false">IF($A180="","",IF(COUNTIF($A$3:$A180,$A180)=1,SUMIF(cobranza!$B$3:$B$1000,$A180,cobranza!$D$3:$D$1000),"↑"))</f>
        <v/>
      </c>
      <c r="Q180" s="15" t="str">
        <f aca="false">IF($A180="","",IF(COUNTIF($A$3:$A180,$A180)=1,SUMIFS($H$3:$H$1000,$A$3:$A$1000,$A180,$C$3:$C$1000,"&lt;&gt;Demo")-P180,"↑"))</f>
        <v/>
      </c>
      <c r="R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5" t="n">
        <f aca="false">IFERROR(H181-G181,"")</f>
        <v>0</v>
      </c>
      <c r="O181" s="16" t="str">
        <f aca="false">IFERROR(N181/H181,"")</f>
        <v/>
      </c>
      <c r="P181" s="15" t="str">
        <f aca="false">IF($A181="","",IF(COUNTIF($A$3:$A181,$A181)=1,SUMIF(cobranza!$B$3:$B$1000,$A181,cobranza!$D$3:$D$1000),"↑"))</f>
        <v/>
      </c>
      <c r="Q181" s="15" t="str">
        <f aca="false">IF($A181="","",IF(COUNTIF($A$3:$A181,$A181)=1,SUMIFS($H$3:$H$1000,$A$3:$A$1000,$A181,$C$3:$C$1000,"&lt;&gt;Demo")-P181,"↑"))</f>
        <v/>
      </c>
      <c r="R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5" t="n">
        <f aca="false">IFERROR(H182-G182,"")</f>
        <v>0</v>
      </c>
      <c r="O182" s="16" t="str">
        <f aca="false">IFERROR(N182/H182,"")</f>
        <v/>
      </c>
      <c r="P182" s="15" t="str">
        <f aca="false">IF($A182="","",IF(COUNTIF($A$3:$A182,$A182)=1,SUMIF(cobranza!$B$3:$B$1000,$A182,cobranza!$D$3:$D$1000),"↑"))</f>
        <v/>
      </c>
      <c r="Q182" s="15" t="str">
        <f aca="false">IF($A182="","",IF(COUNTIF($A$3:$A182,$A182)=1,SUMIFS($H$3:$H$1000,$A$3:$A$1000,$A182,$C$3:$C$1000,"&lt;&gt;Demo")-P182,"↑"))</f>
        <v/>
      </c>
      <c r="R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5" t="n">
        <f aca="false">IFERROR(H183-G183,"")</f>
        <v>0</v>
      </c>
      <c r="O183" s="16" t="str">
        <f aca="false">IFERROR(N183/H183,"")</f>
        <v/>
      </c>
      <c r="P183" s="15" t="str">
        <f aca="false">IF($A183="","",IF(COUNTIF($A$3:$A183,$A183)=1,SUMIF(cobranza!$B$3:$B$1000,$A183,cobranza!$D$3:$D$1000),"↑"))</f>
        <v/>
      </c>
      <c r="Q183" s="15" t="str">
        <f aca="false">IF($A183="","",IF(COUNTIF($A$3:$A183,$A183)=1,SUMIFS($H$3:$H$1000,$A$3:$A$1000,$A183,$C$3:$C$1000,"&lt;&gt;Demo")-P183,"↑"))</f>
        <v/>
      </c>
      <c r="R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5" t="n">
        <f aca="false">IFERROR(H184-G184,"")</f>
        <v>0</v>
      </c>
      <c r="O184" s="16" t="str">
        <f aca="false">IFERROR(N184/H184,"")</f>
        <v/>
      </c>
      <c r="P184" s="15" t="str">
        <f aca="false">IF($A184="","",IF(COUNTIF($A$3:$A184,$A184)=1,SUMIF(cobranza!$B$3:$B$1000,$A184,cobranza!$D$3:$D$1000),"↑"))</f>
        <v/>
      </c>
      <c r="Q184" s="15" t="str">
        <f aca="false">IF($A184="","",IF(COUNTIF($A$3:$A184,$A184)=1,SUMIFS($H$3:$H$1000,$A$3:$A$1000,$A184,$C$3:$C$1000,"&lt;&gt;Demo")-P184,"↑"))</f>
        <v/>
      </c>
      <c r="R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5" t="n">
        <f aca="false">IFERROR(H185-G185,"")</f>
        <v>0</v>
      </c>
      <c r="O185" s="16" t="str">
        <f aca="false">IFERROR(N185/H185,"")</f>
        <v/>
      </c>
      <c r="P185" s="15" t="str">
        <f aca="false">IF($A185="","",IF(COUNTIF($A$3:$A185,$A185)=1,SUMIF(cobranza!$B$3:$B$1000,$A185,cobranza!$D$3:$D$1000),"↑"))</f>
        <v/>
      </c>
      <c r="Q185" s="15" t="str">
        <f aca="false">IF($A185="","",IF(COUNTIF($A$3:$A185,$A185)=1,SUMIFS($H$3:$H$1000,$A$3:$A$1000,$A185,$C$3:$C$1000,"&lt;&gt;Demo")-P185,"↑"))</f>
        <v/>
      </c>
      <c r="R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5" t="n">
        <f aca="false">IFERROR(H186-G186,"")</f>
        <v>0</v>
      </c>
      <c r="O186" s="16" t="str">
        <f aca="false">IFERROR(N186/H186,"")</f>
        <v/>
      </c>
      <c r="P186" s="15" t="str">
        <f aca="false">IF($A186="","",IF(COUNTIF($A$3:$A186,$A186)=1,SUMIF(cobranza!$B$3:$B$1000,$A186,cobranza!$D$3:$D$1000),"↑"))</f>
        <v/>
      </c>
      <c r="Q186" s="15" t="str">
        <f aca="false">IF($A186="","",IF(COUNTIF($A$3:$A186,$A186)=1,SUMIFS($H$3:$H$1000,$A$3:$A$1000,$A186,$C$3:$C$1000,"&lt;&gt;Demo")-P186,"↑"))</f>
        <v/>
      </c>
      <c r="R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5" t="n">
        <f aca="false">IFERROR(H187-G187,"")</f>
        <v>0</v>
      </c>
      <c r="O187" s="16" t="str">
        <f aca="false">IFERROR(N187/H187,"")</f>
        <v/>
      </c>
      <c r="P187" s="15" t="str">
        <f aca="false">IF($A187="","",IF(COUNTIF($A$3:$A187,$A187)=1,SUMIF(cobranza!$B$3:$B$1000,$A187,cobranza!$D$3:$D$1000),"↑"))</f>
        <v/>
      </c>
      <c r="Q187" s="15" t="str">
        <f aca="false">IF($A187="","",IF(COUNTIF($A$3:$A187,$A187)=1,SUMIFS($H$3:$H$1000,$A$3:$A$1000,$A187,$C$3:$C$1000,"&lt;&gt;Demo")-P187,"↑"))</f>
        <v/>
      </c>
      <c r="R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5" t="n">
        <f aca="false">IFERROR(H188-G188,"")</f>
        <v>0</v>
      </c>
      <c r="O188" s="16" t="str">
        <f aca="false">IFERROR(N188/H188,"")</f>
        <v/>
      </c>
      <c r="P188" s="15" t="str">
        <f aca="false">IF($A188="","",IF(COUNTIF($A$3:$A188,$A188)=1,SUMIF(cobranza!$B$3:$B$1000,$A188,cobranza!$D$3:$D$1000),"↑"))</f>
        <v/>
      </c>
      <c r="Q188" s="15" t="str">
        <f aca="false">IF($A188="","",IF(COUNTIF($A$3:$A188,$A188)=1,SUMIFS($H$3:$H$1000,$A$3:$A$1000,$A188,$C$3:$C$1000,"&lt;&gt;Demo")-P188,"↑"))</f>
        <v/>
      </c>
      <c r="R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5" t="n">
        <f aca="false">IFERROR(H189-G189,"")</f>
        <v>0</v>
      </c>
      <c r="O189" s="16" t="str">
        <f aca="false">IFERROR(N189/H189,"")</f>
        <v/>
      </c>
      <c r="P189" s="15" t="str">
        <f aca="false">IF($A189="","",IF(COUNTIF($A$3:$A189,$A189)=1,SUMIF(cobranza!$B$3:$B$1000,$A189,cobranza!$D$3:$D$1000),"↑"))</f>
        <v/>
      </c>
      <c r="Q189" s="15" t="str">
        <f aca="false">IF($A189="","",IF(COUNTIF($A$3:$A189,$A189)=1,SUMIFS($H$3:$H$1000,$A$3:$A$1000,$A189,$C$3:$C$1000,"&lt;&gt;Demo")-P189,"↑"))</f>
        <v/>
      </c>
      <c r="R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5" t="n">
        <f aca="false">IFERROR(H190-G190,"")</f>
        <v>0</v>
      </c>
      <c r="O190" s="16" t="str">
        <f aca="false">IFERROR(N190/H190,"")</f>
        <v/>
      </c>
      <c r="P190" s="15" t="str">
        <f aca="false">IF($A190="","",IF(COUNTIF($A$3:$A190,$A190)=1,SUMIF(cobranza!$B$3:$B$1000,$A190,cobranza!$D$3:$D$1000),"↑"))</f>
        <v/>
      </c>
      <c r="Q190" s="15" t="str">
        <f aca="false">IF($A190="","",IF(COUNTIF($A$3:$A190,$A190)=1,SUMIFS($H$3:$H$1000,$A$3:$A$1000,$A190,$C$3:$C$1000,"&lt;&gt;Demo")-P190,"↑"))</f>
        <v/>
      </c>
      <c r="R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5" t="n">
        <f aca="false">IFERROR(H191-G191,"")</f>
        <v>0</v>
      </c>
      <c r="O191" s="16" t="str">
        <f aca="false">IFERROR(N191/H191,"")</f>
        <v/>
      </c>
      <c r="P191" s="15" t="str">
        <f aca="false">IF($A191="","",IF(COUNTIF($A$3:$A191,$A191)=1,SUMIF(cobranza!$B$3:$B$1000,$A191,cobranza!$D$3:$D$1000),"↑"))</f>
        <v/>
      </c>
      <c r="Q191" s="15" t="str">
        <f aca="false">IF($A191="","",IF(COUNTIF($A$3:$A191,$A191)=1,SUMIFS($H$3:$H$1000,$A$3:$A$1000,$A191,$C$3:$C$1000,"&lt;&gt;Demo")-P191,"↑"))</f>
        <v/>
      </c>
      <c r="R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5" t="n">
        <f aca="false">IFERROR(H192-G192,"")</f>
        <v>0</v>
      </c>
      <c r="O192" s="16" t="str">
        <f aca="false">IFERROR(N192/H192,"")</f>
        <v/>
      </c>
      <c r="P192" s="15" t="str">
        <f aca="false">IF($A192="","",IF(COUNTIF($A$3:$A192,$A192)=1,SUMIF(cobranza!$B$3:$B$1000,$A192,cobranza!$D$3:$D$1000),"↑"))</f>
        <v/>
      </c>
      <c r="Q192" s="15" t="str">
        <f aca="false">IF($A192="","",IF(COUNTIF($A$3:$A192,$A192)=1,SUMIFS($H$3:$H$1000,$A$3:$A$1000,$A192,$C$3:$C$1000,"&lt;&gt;Demo")-P192,"↑"))</f>
        <v/>
      </c>
      <c r="R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5" t="n">
        <f aca="false">IFERROR(H193-G193,"")</f>
        <v>0</v>
      </c>
      <c r="O193" s="16" t="str">
        <f aca="false">IFERROR(N193/H193,"")</f>
        <v/>
      </c>
      <c r="P193" s="15" t="str">
        <f aca="false">IF($A193="","",IF(COUNTIF($A$3:$A193,$A193)=1,SUMIF(cobranza!$B$3:$B$1000,$A193,cobranza!$D$3:$D$1000),"↑"))</f>
        <v/>
      </c>
      <c r="Q193" s="15" t="str">
        <f aca="false">IF($A193="","",IF(COUNTIF($A$3:$A193,$A193)=1,SUMIFS($H$3:$H$1000,$A$3:$A$1000,$A193,$C$3:$C$1000,"&lt;&gt;Demo")-P193,"↑"))</f>
        <v/>
      </c>
      <c r="R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5" t="n">
        <f aca="false">IFERROR(H194-G194,"")</f>
        <v>0</v>
      </c>
      <c r="O194" s="16" t="str">
        <f aca="false">IFERROR(N194/H194,"")</f>
        <v/>
      </c>
      <c r="P194" s="15" t="str">
        <f aca="false">IF($A194="","",IF(COUNTIF($A$3:$A194,$A194)=1,SUMIF(cobranza!$B$3:$B$1000,$A194,cobranza!$D$3:$D$1000),"↑"))</f>
        <v/>
      </c>
      <c r="Q194" s="15" t="str">
        <f aca="false">IF($A194="","",IF(COUNTIF($A$3:$A194,$A194)=1,SUMIFS($H$3:$H$1000,$A$3:$A$1000,$A194,$C$3:$C$1000,"&lt;&gt;Demo")-P194,"↑"))</f>
        <v/>
      </c>
      <c r="R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5" t="n">
        <f aca="false">IFERROR(H195-G195,"")</f>
        <v>0</v>
      </c>
      <c r="O195" s="16" t="str">
        <f aca="false">IFERROR(N195/H195,"")</f>
        <v/>
      </c>
      <c r="P195" s="15" t="str">
        <f aca="false">IF($A195="","",IF(COUNTIF($A$3:$A195,$A195)=1,SUMIF(cobranza!$B$3:$B$1000,$A195,cobranza!$D$3:$D$1000),"↑"))</f>
        <v/>
      </c>
      <c r="Q195" s="15" t="str">
        <f aca="false">IF($A195="","",IF(COUNTIF($A$3:$A195,$A195)=1,SUMIFS($H$3:$H$1000,$A$3:$A$1000,$A195,$C$3:$C$1000,"&lt;&gt;Demo")-P195,"↑"))</f>
        <v/>
      </c>
      <c r="R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5" t="n">
        <f aca="false">IFERROR(H196-G196,"")</f>
        <v>0</v>
      </c>
      <c r="O196" s="16" t="str">
        <f aca="false">IFERROR(N196/H196,"")</f>
        <v/>
      </c>
      <c r="P196" s="15" t="str">
        <f aca="false">IF($A196="","",IF(COUNTIF($A$3:$A196,$A196)=1,SUMIF(cobranza!$B$3:$B$1000,$A196,cobranza!$D$3:$D$1000),"↑"))</f>
        <v/>
      </c>
      <c r="Q196" s="15" t="str">
        <f aca="false">IF($A196="","",IF(COUNTIF($A$3:$A196,$A196)=1,SUMIFS($H$3:$H$1000,$A$3:$A$1000,$A196,$C$3:$C$1000,"&lt;&gt;Demo")-P196,"↑"))</f>
        <v/>
      </c>
      <c r="R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5" t="n">
        <f aca="false">IFERROR(H197-G197,"")</f>
        <v>0</v>
      </c>
      <c r="O197" s="16" t="str">
        <f aca="false">IFERROR(N197/H197,"")</f>
        <v/>
      </c>
      <c r="P197" s="15" t="str">
        <f aca="false">IF($A197="","",IF(COUNTIF($A$3:$A197,$A197)=1,SUMIF(cobranza!$B$3:$B$1000,$A197,cobranza!$D$3:$D$1000),"↑"))</f>
        <v/>
      </c>
      <c r="Q197" s="15" t="str">
        <f aca="false">IF($A197="","",IF(COUNTIF($A$3:$A197,$A197)=1,SUMIFS($H$3:$H$1000,$A$3:$A$1000,$A197,$C$3:$C$1000,"&lt;&gt;Demo")-P197,"↑"))</f>
        <v/>
      </c>
      <c r="R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5" t="n">
        <f aca="false">IFERROR(H198-G198,"")</f>
        <v>0</v>
      </c>
      <c r="O198" s="16" t="str">
        <f aca="false">IFERROR(N198/H198,"")</f>
        <v/>
      </c>
      <c r="P198" s="15" t="str">
        <f aca="false">IF($A198="","",IF(COUNTIF($A$3:$A198,$A198)=1,SUMIF(cobranza!$B$3:$B$1000,$A198,cobranza!$D$3:$D$1000),"↑"))</f>
        <v/>
      </c>
      <c r="Q198" s="15" t="str">
        <f aca="false">IF($A198="","",IF(COUNTIF($A$3:$A198,$A198)=1,SUMIFS($H$3:$H$1000,$A$3:$A$1000,$A198,$C$3:$C$1000,"&lt;&gt;Demo")-P198,"↑"))</f>
        <v/>
      </c>
      <c r="R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5" t="n">
        <f aca="false">IFERROR(H199-G199,"")</f>
        <v>0</v>
      </c>
      <c r="O199" s="16" t="str">
        <f aca="false">IFERROR(N199/H199,"")</f>
        <v/>
      </c>
      <c r="P199" s="15" t="str">
        <f aca="false">IF($A199="","",IF(COUNTIF($A$3:$A199,$A199)=1,SUMIF(cobranza!$B$3:$B$1000,$A199,cobranza!$D$3:$D$1000),"↑"))</f>
        <v/>
      </c>
      <c r="Q199" s="15" t="str">
        <f aca="false">IF($A199="","",IF(COUNTIF($A$3:$A199,$A199)=1,SUMIFS($H$3:$H$1000,$A$3:$A$1000,$A199,$C$3:$C$1000,"&lt;&gt;Demo")-P199,"↑"))</f>
        <v/>
      </c>
      <c r="R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5" t="n">
        <f aca="false">IFERROR(H200-G200,"")</f>
        <v>0</v>
      </c>
      <c r="O200" s="16" t="str">
        <f aca="false">IFERROR(N200/H200,"")</f>
        <v/>
      </c>
      <c r="P200" s="15" t="str">
        <f aca="false">IF($A200="","",IF(COUNTIF($A$3:$A200,$A200)=1,SUMIF(cobranza!$B$3:$B$1000,$A200,cobranza!$D$3:$D$1000),"↑"))</f>
        <v/>
      </c>
      <c r="Q200" s="15" t="str">
        <f aca="false">IF($A200="","",IF(COUNTIF($A$3:$A200,$A200)=1,SUMIFS($H$3:$H$1000,$A$3:$A$1000,$A200,$C$3:$C$1000,"&lt;&gt;Demo")-P200,"↑"))</f>
        <v/>
      </c>
      <c r="R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5" t="n">
        <f aca="false">IFERROR(H201-G201,"")</f>
        <v>0</v>
      </c>
      <c r="O201" s="16" t="str">
        <f aca="false">IFERROR(N201/H201,"")</f>
        <v/>
      </c>
      <c r="P201" s="15" t="str">
        <f aca="false">IF($A201="","",IF(COUNTIF($A$3:$A201,$A201)=1,SUMIF(cobranza!$B$3:$B$1000,$A201,cobranza!$D$3:$D$1000),"↑"))</f>
        <v/>
      </c>
      <c r="Q201" s="15" t="str">
        <f aca="false">IF($A201="","",IF(COUNTIF($A$3:$A201,$A201)=1,SUMIFS($H$3:$H$1000,$A$3:$A$1000,$A201,$C$3:$C$1000,"&lt;&gt;Demo")-P201,"↑"))</f>
        <v/>
      </c>
      <c r="R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5" t="n">
        <f aca="false">IFERROR(H202-G202,"")</f>
        <v>0</v>
      </c>
      <c r="O202" s="16" t="str">
        <f aca="false">IFERROR(N202/H202,"")</f>
        <v/>
      </c>
      <c r="P202" s="15" t="str">
        <f aca="false">IF($A202="","",IF(COUNTIF($A$3:$A202,$A202)=1,SUMIF(cobranza!$B$3:$B$1000,$A202,cobranza!$D$3:$D$1000),"↑"))</f>
        <v/>
      </c>
      <c r="Q202" s="15" t="str">
        <f aca="false">IF($A202="","",IF(COUNTIF($A$3:$A202,$A202)=1,SUMIFS($H$3:$H$1000,$A$3:$A$1000,$A202,$C$3:$C$1000,"&lt;&gt;Demo")-P202,"↑"))</f>
        <v/>
      </c>
      <c r="R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5" t="n">
        <f aca="false">IFERROR(H203-G203,"")</f>
        <v>0</v>
      </c>
      <c r="O203" s="16" t="str">
        <f aca="false">IFERROR(N203/H203,"")</f>
        <v/>
      </c>
      <c r="P203" s="15" t="str">
        <f aca="false">IF($A203="","",IF(COUNTIF($A$3:$A203,$A203)=1,SUMIF(cobranza!$B$3:$B$1000,$A203,cobranza!$D$3:$D$1000),"↑"))</f>
        <v/>
      </c>
      <c r="Q203" s="15" t="str">
        <f aca="false">IF($A203="","",IF(COUNTIF($A$3:$A203,$A203)=1,SUMIFS($H$3:$H$1000,$A$3:$A$1000,$A203,$C$3:$C$1000,"&lt;&gt;Demo")-P203,"↑"))</f>
        <v/>
      </c>
      <c r="R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5" t="n">
        <f aca="false">IFERROR(H204-G204,"")</f>
        <v>0</v>
      </c>
      <c r="O204" s="16" t="str">
        <f aca="false">IFERROR(N204/H204,"")</f>
        <v/>
      </c>
      <c r="P204" s="15" t="str">
        <f aca="false">IF($A204="","",IF(COUNTIF($A$3:$A204,$A204)=1,SUMIF(cobranza!$B$3:$B$1000,$A204,cobranza!$D$3:$D$1000),"↑"))</f>
        <v/>
      </c>
      <c r="Q204" s="15" t="str">
        <f aca="false">IF($A204="","",IF(COUNTIF($A$3:$A204,$A204)=1,SUMIFS($H$3:$H$1000,$A$3:$A$1000,$A204,$C$3:$C$1000,"&lt;&gt;Demo")-P204,"↑"))</f>
        <v/>
      </c>
      <c r="R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5" t="n">
        <f aca="false">IFERROR(H205-G205,"")</f>
        <v>0</v>
      </c>
      <c r="O205" s="16" t="str">
        <f aca="false">IFERROR(N205/H205,"")</f>
        <v/>
      </c>
      <c r="P205" s="15" t="str">
        <f aca="false">IF($A205="","",IF(COUNTIF($A$3:$A205,$A205)=1,SUMIF(cobranza!$B$3:$B$1000,$A205,cobranza!$D$3:$D$1000),"↑"))</f>
        <v/>
      </c>
      <c r="Q205" s="15" t="str">
        <f aca="false">IF($A205="","",IF(COUNTIF($A$3:$A205,$A205)=1,SUMIFS($H$3:$H$1000,$A$3:$A$1000,$A205,$C$3:$C$1000,"&lt;&gt;Demo")-P205,"↑"))</f>
        <v/>
      </c>
      <c r="R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5" t="n">
        <f aca="false">IFERROR(H206-G206,"")</f>
        <v>0</v>
      </c>
      <c r="O206" s="16" t="str">
        <f aca="false">IFERROR(N206/H206,"")</f>
        <v/>
      </c>
      <c r="P206" s="15" t="str">
        <f aca="false">IF($A206="","",IF(COUNTIF($A$3:$A206,$A206)=1,SUMIF(cobranza!$B$3:$B$1000,$A206,cobranza!$D$3:$D$1000),"↑"))</f>
        <v/>
      </c>
      <c r="Q206" s="15" t="str">
        <f aca="false">IF($A206="","",IF(COUNTIF($A$3:$A206,$A206)=1,SUMIFS($H$3:$H$1000,$A$3:$A$1000,$A206,$C$3:$C$1000,"&lt;&gt;Demo")-P206,"↑"))</f>
        <v/>
      </c>
      <c r="R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5" t="n">
        <f aca="false">IFERROR(H207-G207,"")</f>
        <v>0</v>
      </c>
      <c r="O207" s="16" t="str">
        <f aca="false">IFERROR(N207/H207,"")</f>
        <v/>
      </c>
      <c r="P207" s="15" t="str">
        <f aca="false">IF($A207="","",IF(COUNTIF($A$3:$A207,$A207)=1,SUMIF(cobranza!$B$3:$B$1000,$A207,cobranza!$D$3:$D$1000),"↑"))</f>
        <v/>
      </c>
      <c r="Q207" s="15" t="str">
        <f aca="false">IF($A207="","",IF(COUNTIF($A$3:$A207,$A207)=1,SUMIFS($H$3:$H$1000,$A$3:$A$1000,$A207,$C$3:$C$1000,"&lt;&gt;Demo")-P207,"↑"))</f>
        <v/>
      </c>
      <c r="R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5" t="n">
        <f aca="false">IFERROR(H208-G208,"")</f>
        <v>0</v>
      </c>
      <c r="O208" s="16" t="str">
        <f aca="false">IFERROR(N208/H208,"")</f>
        <v/>
      </c>
      <c r="P208" s="15" t="str">
        <f aca="false">IF($A208="","",IF(COUNTIF($A$3:$A208,$A208)=1,SUMIF(cobranza!$B$3:$B$1000,$A208,cobranza!$D$3:$D$1000),"↑"))</f>
        <v/>
      </c>
      <c r="Q208" s="15" t="str">
        <f aca="false">IF($A208="","",IF(COUNTIF($A$3:$A208,$A208)=1,SUMIFS($H$3:$H$1000,$A$3:$A$1000,$A208,$C$3:$C$1000,"&lt;&gt;Demo")-P208,"↑"))</f>
        <v/>
      </c>
      <c r="R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5" t="n">
        <f aca="false">IFERROR(H209-G209,"")</f>
        <v>0</v>
      </c>
      <c r="O209" s="16" t="str">
        <f aca="false">IFERROR(N209/H209,"")</f>
        <v/>
      </c>
      <c r="P209" s="15" t="str">
        <f aca="false">IF($A209="","",IF(COUNTIF($A$3:$A209,$A209)=1,SUMIF(cobranza!$B$3:$B$1000,$A209,cobranza!$D$3:$D$1000),"↑"))</f>
        <v/>
      </c>
      <c r="Q209" s="15" t="str">
        <f aca="false">IF($A209="","",IF(COUNTIF($A$3:$A209,$A209)=1,SUMIFS($H$3:$H$1000,$A$3:$A$1000,$A209,$C$3:$C$1000,"&lt;&gt;Demo")-P209,"↑"))</f>
        <v/>
      </c>
      <c r="R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5" t="n">
        <f aca="false">IFERROR(H210-G210,"")</f>
        <v>0</v>
      </c>
      <c r="O210" s="16" t="str">
        <f aca="false">IFERROR(N210/H210,"")</f>
        <v/>
      </c>
      <c r="P210" s="15" t="str">
        <f aca="false">IF($A210="","",IF(COUNTIF($A$3:$A210,$A210)=1,SUMIF(cobranza!$B$3:$B$1000,$A210,cobranza!$D$3:$D$1000),"↑"))</f>
        <v/>
      </c>
      <c r="Q210" s="15" t="str">
        <f aca="false">IF($A210="","",IF(COUNTIF($A$3:$A210,$A210)=1,SUMIFS($H$3:$H$1000,$A$3:$A$1000,$A210,$C$3:$C$1000,"&lt;&gt;Demo")-P210,"↑"))</f>
        <v/>
      </c>
      <c r="R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5" t="n">
        <f aca="false">IFERROR(H211-G211,"")</f>
        <v>0</v>
      </c>
      <c r="O211" s="16" t="str">
        <f aca="false">IFERROR(N211/H211,"")</f>
        <v/>
      </c>
      <c r="P211" s="15" t="str">
        <f aca="false">IF($A211="","",IF(COUNTIF($A$3:$A211,$A211)=1,SUMIF(cobranza!$B$3:$B$1000,$A211,cobranza!$D$3:$D$1000),"↑"))</f>
        <v/>
      </c>
      <c r="Q211" s="15" t="str">
        <f aca="false">IF($A211="","",IF(COUNTIF($A$3:$A211,$A211)=1,SUMIFS($H$3:$H$1000,$A$3:$A$1000,$A211,$C$3:$C$1000,"&lt;&gt;Demo")-P211,"↑"))</f>
        <v/>
      </c>
      <c r="R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5" t="n">
        <f aca="false">IFERROR(H212-G212,"")</f>
        <v>0</v>
      </c>
      <c r="O212" s="16" t="str">
        <f aca="false">IFERROR(N212/H212,"")</f>
        <v/>
      </c>
      <c r="P212" s="15" t="str">
        <f aca="false">IF($A212="","",IF(COUNTIF($A$3:$A212,$A212)=1,SUMIF(cobranza!$B$3:$B$1000,$A212,cobranza!$D$3:$D$1000),"↑"))</f>
        <v/>
      </c>
      <c r="Q212" s="15" t="str">
        <f aca="false">IF($A212="","",IF(COUNTIF($A$3:$A212,$A212)=1,SUMIFS($H$3:$H$1000,$A$3:$A$1000,$A212,$C$3:$C$1000,"&lt;&gt;Demo")-P212,"↑"))</f>
        <v/>
      </c>
      <c r="R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5" t="n">
        <f aca="false">IFERROR(H213-G213,"")</f>
        <v>0</v>
      </c>
      <c r="O213" s="16" t="str">
        <f aca="false">IFERROR(N213/H213,"")</f>
        <v/>
      </c>
      <c r="P213" s="15" t="str">
        <f aca="false">IF($A213="","",IF(COUNTIF($A$3:$A213,$A213)=1,SUMIF(cobranza!$B$3:$B$1000,$A213,cobranza!$D$3:$D$1000),"↑"))</f>
        <v/>
      </c>
      <c r="Q213" s="15" t="str">
        <f aca="false">IF($A213="","",IF(COUNTIF($A$3:$A213,$A213)=1,SUMIFS($H$3:$H$1000,$A$3:$A$1000,$A213,$C$3:$C$1000,"&lt;&gt;Demo")-P213,"↑"))</f>
        <v/>
      </c>
      <c r="R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5" t="n">
        <f aca="false">IFERROR(H214-G214,"")</f>
        <v>0</v>
      </c>
      <c r="O214" s="16" t="str">
        <f aca="false">IFERROR(N214/H214,"")</f>
        <v/>
      </c>
      <c r="P214" s="15" t="str">
        <f aca="false">IF($A214="","",IF(COUNTIF($A$3:$A214,$A214)=1,SUMIF(cobranza!$B$3:$B$1000,$A214,cobranza!$D$3:$D$1000),"↑"))</f>
        <v/>
      </c>
      <c r="Q214" s="15" t="str">
        <f aca="false">IF($A214="","",IF(COUNTIF($A$3:$A214,$A214)=1,SUMIFS($H$3:$H$1000,$A$3:$A$1000,$A214,$C$3:$C$1000,"&lt;&gt;Demo")-P214,"↑"))</f>
        <v/>
      </c>
      <c r="R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5" t="n">
        <f aca="false">IFERROR(H215-G215,"")</f>
        <v>0</v>
      </c>
      <c r="O215" s="16" t="str">
        <f aca="false">IFERROR(N215/H215,"")</f>
        <v/>
      </c>
      <c r="P215" s="15" t="str">
        <f aca="false">IF($A215="","",IF(COUNTIF($A$3:$A215,$A215)=1,SUMIF(cobranza!$B$3:$B$1000,$A215,cobranza!$D$3:$D$1000),"↑"))</f>
        <v/>
      </c>
      <c r="Q215" s="15" t="str">
        <f aca="false">IF($A215="","",IF(COUNTIF($A$3:$A215,$A215)=1,SUMIFS($H$3:$H$1000,$A$3:$A$1000,$A215,$C$3:$C$1000,"&lt;&gt;Demo")-P215,"↑"))</f>
        <v/>
      </c>
      <c r="R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5" t="n">
        <f aca="false">IFERROR(H216-G216,"")</f>
        <v>0</v>
      </c>
      <c r="O216" s="16" t="str">
        <f aca="false">IFERROR(N216/H216,"")</f>
        <v/>
      </c>
      <c r="P216" s="15" t="str">
        <f aca="false">IF($A216="","",IF(COUNTIF($A$3:$A216,$A216)=1,SUMIF(cobranza!$B$3:$B$1000,$A216,cobranza!$D$3:$D$1000),"↑"))</f>
        <v/>
      </c>
      <c r="Q216" s="15" t="str">
        <f aca="false">IF($A216="","",IF(COUNTIF($A$3:$A216,$A216)=1,SUMIFS($H$3:$H$1000,$A$3:$A$1000,$A216,$C$3:$C$1000,"&lt;&gt;Demo")-P216,"↑"))</f>
        <v/>
      </c>
      <c r="R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5" t="n">
        <f aca="false">IFERROR(H217-G217,"")</f>
        <v>0</v>
      </c>
      <c r="O217" s="16" t="str">
        <f aca="false">IFERROR(N217/H217,"")</f>
        <v/>
      </c>
      <c r="P217" s="15" t="str">
        <f aca="false">IF($A217="","",IF(COUNTIF($A$3:$A217,$A217)=1,SUMIF(cobranza!$B$3:$B$1000,$A217,cobranza!$D$3:$D$1000),"↑"))</f>
        <v/>
      </c>
      <c r="Q217" s="15" t="str">
        <f aca="false">IF($A217="","",IF(COUNTIF($A$3:$A217,$A217)=1,SUMIFS($H$3:$H$1000,$A$3:$A$1000,$A217,$C$3:$C$1000,"&lt;&gt;Demo")-P217,"↑"))</f>
        <v/>
      </c>
      <c r="R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5" t="n">
        <f aca="false">IFERROR(H218-G218,"")</f>
        <v>0</v>
      </c>
      <c r="O218" s="16" t="str">
        <f aca="false">IFERROR(N218/H218,"")</f>
        <v/>
      </c>
      <c r="P218" s="15" t="str">
        <f aca="false">IF($A218="","",IF(COUNTIF($A$3:$A218,$A218)=1,SUMIF(cobranza!$B$3:$B$1000,$A218,cobranza!$D$3:$D$1000),"↑"))</f>
        <v/>
      </c>
      <c r="Q218" s="15" t="str">
        <f aca="false">IF($A218="","",IF(COUNTIF($A$3:$A218,$A218)=1,SUMIFS($H$3:$H$1000,$A$3:$A$1000,$A218,$C$3:$C$1000,"&lt;&gt;Demo")-P218,"↑"))</f>
        <v/>
      </c>
      <c r="R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5" t="n">
        <f aca="false">IFERROR(H219-G219,"")</f>
        <v>0</v>
      </c>
      <c r="O219" s="16" t="str">
        <f aca="false">IFERROR(N219/H219,"")</f>
        <v/>
      </c>
      <c r="P219" s="15" t="str">
        <f aca="false">IF($A219="","",IF(COUNTIF($A$3:$A219,$A219)=1,SUMIF(cobranza!$B$3:$B$1000,$A219,cobranza!$D$3:$D$1000),"↑"))</f>
        <v/>
      </c>
      <c r="Q219" s="15" t="str">
        <f aca="false">IF($A219="","",IF(COUNTIF($A$3:$A219,$A219)=1,SUMIFS($H$3:$H$1000,$A$3:$A$1000,$A219,$C$3:$C$1000,"&lt;&gt;Demo")-P219,"↑"))</f>
        <v/>
      </c>
      <c r="R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5" t="n">
        <f aca="false">IFERROR(H220-G220,"")</f>
        <v>0</v>
      </c>
      <c r="O220" s="16" t="str">
        <f aca="false">IFERROR(N220/H220,"")</f>
        <v/>
      </c>
      <c r="P220" s="15" t="str">
        <f aca="false">IF($A220="","",IF(COUNTIF($A$3:$A220,$A220)=1,SUMIF(cobranza!$B$3:$B$1000,$A220,cobranza!$D$3:$D$1000),"↑"))</f>
        <v/>
      </c>
      <c r="Q220" s="15" t="str">
        <f aca="false">IF($A220="","",IF(COUNTIF($A$3:$A220,$A220)=1,SUMIFS($H$3:$H$1000,$A$3:$A$1000,$A220,$C$3:$C$1000,"&lt;&gt;Demo")-P220,"↑"))</f>
        <v/>
      </c>
      <c r="R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5" t="n">
        <f aca="false">IFERROR(H221-G221,"")</f>
        <v>0</v>
      </c>
      <c r="O221" s="16" t="str">
        <f aca="false">IFERROR(N221/H221,"")</f>
        <v/>
      </c>
      <c r="P221" s="15" t="str">
        <f aca="false">IF($A221="","",IF(COUNTIF($A$3:$A221,$A221)=1,SUMIF(cobranza!$B$3:$B$1000,$A221,cobranza!$D$3:$D$1000),"↑"))</f>
        <v/>
      </c>
      <c r="Q221" s="15" t="str">
        <f aca="false">IF($A221="","",IF(COUNTIF($A$3:$A221,$A221)=1,SUMIFS($H$3:$H$1000,$A$3:$A$1000,$A221,$C$3:$C$1000,"&lt;&gt;Demo")-P221,"↑"))</f>
        <v/>
      </c>
      <c r="R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5" t="n">
        <f aca="false">IFERROR(H222-G222,"")</f>
        <v>0</v>
      </c>
      <c r="O222" s="16" t="str">
        <f aca="false">IFERROR(N222/H222,"")</f>
        <v/>
      </c>
      <c r="P222" s="15" t="str">
        <f aca="false">IF($A222="","",IF(COUNTIF($A$3:$A222,$A222)=1,SUMIF(cobranza!$B$3:$B$1000,$A222,cobranza!$D$3:$D$1000),"↑"))</f>
        <v/>
      </c>
      <c r="Q222" s="15" t="str">
        <f aca="false">IF($A222="","",IF(COUNTIF($A$3:$A222,$A222)=1,SUMIFS($H$3:$H$1000,$A$3:$A$1000,$A222,$C$3:$C$1000,"&lt;&gt;Demo")-P222,"↑"))</f>
        <v/>
      </c>
      <c r="R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5" t="n">
        <f aca="false">IFERROR(H223-G223,"")</f>
        <v>0</v>
      </c>
      <c r="O223" s="16" t="str">
        <f aca="false">IFERROR(N223/H223,"")</f>
        <v/>
      </c>
      <c r="P223" s="15" t="str">
        <f aca="false">IF($A223="","",IF(COUNTIF($A$3:$A223,$A223)=1,SUMIF(cobranza!$B$3:$B$1000,$A223,cobranza!$D$3:$D$1000),"↑"))</f>
        <v/>
      </c>
      <c r="Q223" s="15" t="str">
        <f aca="false">IF($A223="","",IF(COUNTIF($A$3:$A223,$A223)=1,SUMIFS($H$3:$H$1000,$A$3:$A$1000,$A223,$C$3:$C$1000,"&lt;&gt;Demo")-P223,"↑"))</f>
        <v/>
      </c>
      <c r="R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5" t="n">
        <f aca="false">IFERROR(H224-G224,"")</f>
        <v>0</v>
      </c>
      <c r="O224" s="16" t="str">
        <f aca="false">IFERROR(N224/H224,"")</f>
        <v/>
      </c>
      <c r="P224" s="15" t="str">
        <f aca="false">IF($A224="","",IF(COUNTIF($A$3:$A224,$A224)=1,SUMIF(cobranza!$B$3:$B$1000,$A224,cobranza!$D$3:$D$1000),"↑"))</f>
        <v/>
      </c>
      <c r="Q224" s="15" t="str">
        <f aca="false">IF($A224="","",IF(COUNTIF($A$3:$A224,$A224)=1,SUMIFS($H$3:$H$1000,$A$3:$A$1000,$A224,$C$3:$C$1000,"&lt;&gt;Demo")-P224,"↑"))</f>
        <v/>
      </c>
      <c r="R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5" t="n">
        <f aca="false">IFERROR(H225-G225,"")</f>
        <v>0</v>
      </c>
      <c r="O225" s="16" t="str">
        <f aca="false">IFERROR(N225/H225,"")</f>
        <v/>
      </c>
      <c r="P225" s="15" t="str">
        <f aca="false">IF($A225="","",IF(COUNTIF($A$3:$A225,$A225)=1,SUMIF(cobranza!$B$3:$B$1000,$A225,cobranza!$D$3:$D$1000),"↑"))</f>
        <v/>
      </c>
      <c r="Q225" s="15" t="str">
        <f aca="false">IF($A225="","",IF(COUNTIF($A$3:$A225,$A225)=1,SUMIFS($H$3:$H$1000,$A$3:$A$1000,$A225,$C$3:$C$1000,"&lt;&gt;Demo")-P225,"↑"))</f>
        <v/>
      </c>
      <c r="R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5" t="n">
        <f aca="false">IFERROR(H226-G226,"")</f>
        <v>0</v>
      </c>
      <c r="O226" s="16" t="str">
        <f aca="false">IFERROR(N226/H226,"")</f>
        <v/>
      </c>
      <c r="P226" s="15" t="str">
        <f aca="false">IF($A226="","",IF(COUNTIF($A$3:$A226,$A226)=1,SUMIF(cobranza!$B$3:$B$1000,$A226,cobranza!$D$3:$D$1000),"↑"))</f>
        <v/>
      </c>
      <c r="Q226" s="15" t="str">
        <f aca="false">IF($A226="","",IF(COUNTIF($A$3:$A226,$A226)=1,SUMIFS($H$3:$H$1000,$A$3:$A$1000,$A226,$C$3:$C$1000,"&lt;&gt;Demo")-P226,"↑"))</f>
        <v/>
      </c>
      <c r="R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5" t="n">
        <f aca="false">IFERROR(H227-G227,"")</f>
        <v>0</v>
      </c>
      <c r="O227" s="16" t="str">
        <f aca="false">IFERROR(N227/H227,"")</f>
        <v/>
      </c>
      <c r="P227" s="15" t="str">
        <f aca="false">IF($A227="","",IF(COUNTIF($A$3:$A227,$A227)=1,SUMIF(cobranza!$B$3:$B$1000,$A227,cobranza!$D$3:$D$1000),"↑"))</f>
        <v/>
      </c>
      <c r="Q227" s="15" t="str">
        <f aca="false">IF($A227="","",IF(COUNTIF($A$3:$A227,$A227)=1,SUMIFS($H$3:$H$1000,$A$3:$A$1000,$A227,$C$3:$C$1000,"&lt;&gt;Demo")-P227,"↑"))</f>
        <v/>
      </c>
      <c r="R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5" t="n">
        <f aca="false">IFERROR(H228-G228,"")</f>
        <v>0</v>
      </c>
      <c r="O228" s="16" t="str">
        <f aca="false">IFERROR(N228/H228,"")</f>
        <v/>
      </c>
      <c r="P228" s="15" t="str">
        <f aca="false">IF($A228="","",IF(COUNTIF($A$3:$A228,$A228)=1,SUMIF(cobranza!$B$3:$B$1000,$A228,cobranza!$D$3:$D$1000),"↑"))</f>
        <v/>
      </c>
      <c r="Q228" s="15" t="str">
        <f aca="false">IF($A228="","",IF(COUNTIF($A$3:$A228,$A228)=1,SUMIFS($H$3:$H$1000,$A$3:$A$1000,$A228,$C$3:$C$1000,"&lt;&gt;Demo")-P228,"↑"))</f>
        <v/>
      </c>
      <c r="R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5" t="n">
        <f aca="false">IFERROR(H229-G229,"")</f>
        <v>0</v>
      </c>
      <c r="O229" s="16" t="str">
        <f aca="false">IFERROR(N229/H229,"")</f>
        <v/>
      </c>
      <c r="P229" s="15" t="str">
        <f aca="false">IF($A229="","",IF(COUNTIF($A$3:$A229,$A229)=1,SUMIF(cobranza!$B$3:$B$1000,$A229,cobranza!$D$3:$D$1000),"↑"))</f>
        <v/>
      </c>
      <c r="Q229" s="15" t="str">
        <f aca="false">IF($A229="","",IF(COUNTIF($A$3:$A229,$A229)=1,SUMIFS($H$3:$H$1000,$A$3:$A$1000,$A229,$C$3:$C$1000,"&lt;&gt;Demo")-P229,"↑"))</f>
        <v/>
      </c>
      <c r="R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5" t="n">
        <f aca="false">IFERROR(H230-G230,"")</f>
        <v>0</v>
      </c>
      <c r="O230" s="16" t="str">
        <f aca="false">IFERROR(N230/H230,"")</f>
        <v/>
      </c>
      <c r="P230" s="15" t="str">
        <f aca="false">IF($A230="","",IF(COUNTIF($A$3:$A230,$A230)=1,SUMIF(cobranza!$B$3:$B$1000,$A230,cobranza!$D$3:$D$1000),"↑"))</f>
        <v/>
      </c>
      <c r="Q230" s="15" t="str">
        <f aca="false">IF($A230="","",IF(COUNTIF($A$3:$A230,$A230)=1,SUMIFS($H$3:$H$1000,$A$3:$A$1000,$A230,$C$3:$C$1000,"&lt;&gt;Demo")-P230,"↑"))</f>
        <v/>
      </c>
      <c r="R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5" t="n">
        <f aca="false">IFERROR(H231-G231,"")</f>
        <v>0</v>
      </c>
      <c r="O231" s="16" t="str">
        <f aca="false">IFERROR(N231/H231,"")</f>
        <v/>
      </c>
      <c r="P231" s="15" t="str">
        <f aca="false">IF($A231="","",IF(COUNTIF($A$3:$A231,$A231)=1,SUMIF(cobranza!$B$3:$B$1000,$A231,cobranza!$D$3:$D$1000),"↑"))</f>
        <v/>
      </c>
      <c r="Q231" s="15" t="str">
        <f aca="false">IF($A231="","",IF(COUNTIF($A$3:$A231,$A231)=1,SUMIFS($H$3:$H$1000,$A$3:$A$1000,$A231,$C$3:$C$1000,"&lt;&gt;Demo")-P231,"↑"))</f>
        <v/>
      </c>
      <c r="R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5" t="n">
        <f aca="false">IFERROR(H232-G232,"")</f>
        <v>0</v>
      </c>
      <c r="O232" s="16" t="str">
        <f aca="false">IFERROR(N232/H232,"")</f>
        <v/>
      </c>
      <c r="P232" s="15" t="str">
        <f aca="false">IF($A232="","",IF(COUNTIF($A$3:$A232,$A232)=1,SUMIF(cobranza!$B$3:$B$1000,$A232,cobranza!$D$3:$D$1000),"↑"))</f>
        <v/>
      </c>
      <c r="Q232" s="15" t="str">
        <f aca="false">IF($A232="","",IF(COUNTIF($A$3:$A232,$A232)=1,SUMIFS($H$3:$H$1000,$A$3:$A$1000,$A232,$C$3:$C$1000,"&lt;&gt;Demo")-P232,"↑"))</f>
        <v/>
      </c>
      <c r="R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5" t="n">
        <f aca="false">IFERROR(H233-G233,"")</f>
        <v>0</v>
      </c>
      <c r="O233" s="16" t="str">
        <f aca="false">IFERROR(N233/H233,"")</f>
        <v/>
      </c>
      <c r="P233" s="15" t="str">
        <f aca="false">IF($A233="","",IF(COUNTIF($A$3:$A233,$A233)=1,SUMIF(cobranza!$B$3:$B$1000,$A233,cobranza!$D$3:$D$1000),"↑"))</f>
        <v/>
      </c>
      <c r="Q233" s="15" t="str">
        <f aca="false">IF($A233="","",IF(COUNTIF($A$3:$A233,$A233)=1,SUMIFS($H$3:$H$1000,$A$3:$A$1000,$A233,$C$3:$C$1000,"&lt;&gt;Demo")-P233,"↑"))</f>
        <v/>
      </c>
      <c r="R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5" t="n">
        <f aca="false">IFERROR(H234-G234,"")</f>
        <v>0</v>
      </c>
      <c r="O234" s="16" t="str">
        <f aca="false">IFERROR(N234/H234,"")</f>
        <v/>
      </c>
      <c r="P234" s="15" t="str">
        <f aca="false">IF($A234="","",IF(COUNTIF($A$3:$A234,$A234)=1,SUMIF(cobranza!$B$3:$B$1000,$A234,cobranza!$D$3:$D$1000),"↑"))</f>
        <v/>
      </c>
      <c r="Q234" s="15" t="str">
        <f aca="false">IF($A234="","",IF(COUNTIF($A$3:$A234,$A234)=1,SUMIFS($H$3:$H$1000,$A$3:$A$1000,$A234,$C$3:$C$1000,"&lt;&gt;Demo")-P234,"↑"))</f>
        <v/>
      </c>
      <c r="R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5" t="n">
        <f aca="false">IFERROR(H235-G235,"")</f>
        <v>0</v>
      </c>
      <c r="O235" s="16" t="str">
        <f aca="false">IFERROR(N235/H235,"")</f>
        <v/>
      </c>
      <c r="P235" s="15" t="str">
        <f aca="false">IF($A235="","",IF(COUNTIF($A$3:$A235,$A235)=1,SUMIF(cobranza!$B$3:$B$1000,$A235,cobranza!$D$3:$D$1000),"↑"))</f>
        <v/>
      </c>
      <c r="Q235" s="15" t="str">
        <f aca="false">IF($A235="","",IF(COUNTIF($A$3:$A235,$A235)=1,SUMIFS($H$3:$H$1000,$A$3:$A$1000,$A235,$C$3:$C$1000,"&lt;&gt;Demo")-P235,"↑"))</f>
        <v/>
      </c>
      <c r="R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5" t="n">
        <f aca="false">IFERROR(H236-G236,"")</f>
        <v>0</v>
      </c>
      <c r="O236" s="16" t="str">
        <f aca="false">IFERROR(N236/H236,"")</f>
        <v/>
      </c>
      <c r="P236" s="15" t="str">
        <f aca="false">IF($A236="","",IF(COUNTIF($A$3:$A236,$A236)=1,SUMIF(cobranza!$B$3:$B$1000,$A236,cobranza!$D$3:$D$1000),"↑"))</f>
        <v/>
      </c>
      <c r="Q236" s="15" t="str">
        <f aca="false">IF($A236="","",IF(COUNTIF($A$3:$A236,$A236)=1,SUMIFS($H$3:$H$1000,$A$3:$A$1000,$A236,$C$3:$C$1000,"&lt;&gt;Demo")-P236,"↑"))</f>
        <v/>
      </c>
      <c r="R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5" t="n">
        <f aca="false">IFERROR(H237-G237,"")</f>
        <v>0</v>
      </c>
      <c r="O237" s="16" t="str">
        <f aca="false">IFERROR(N237/H237,"")</f>
        <v/>
      </c>
      <c r="P237" s="15" t="str">
        <f aca="false">IF($A237="","",IF(COUNTIF($A$3:$A237,$A237)=1,SUMIF(cobranza!$B$3:$B$1000,$A237,cobranza!$D$3:$D$1000),"↑"))</f>
        <v/>
      </c>
      <c r="Q237" s="15" t="str">
        <f aca="false">IF($A237="","",IF(COUNTIF($A$3:$A237,$A237)=1,SUMIFS($H$3:$H$1000,$A$3:$A$1000,$A237,$C$3:$C$1000,"&lt;&gt;Demo")-P237,"↑"))</f>
        <v/>
      </c>
      <c r="R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5" t="n">
        <f aca="false">IFERROR(H238-G238,"")</f>
        <v>0</v>
      </c>
      <c r="O238" s="16" t="str">
        <f aca="false">IFERROR(N238/H238,"")</f>
        <v/>
      </c>
      <c r="P238" s="15" t="str">
        <f aca="false">IF($A238="","",IF(COUNTIF($A$3:$A238,$A238)=1,SUMIF(cobranza!$B$3:$B$1000,$A238,cobranza!$D$3:$D$1000),"↑"))</f>
        <v/>
      </c>
      <c r="Q238" s="15" t="str">
        <f aca="false">IF($A238="","",IF(COUNTIF($A$3:$A238,$A238)=1,SUMIFS($H$3:$H$1000,$A$3:$A$1000,$A238,$C$3:$C$1000,"&lt;&gt;Demo")-P238,"↑"))</f>
        <v/>
      </c>
      <c r="R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5" t="n">
        <f aca="false">IFERROR(H239-G239,"")</f>
        <v>0</v>
      </c>
      <c r="O239" s="16" t="str">
        <f aca="false">IFERROR(N239/H239,"")</f>
        <v/>
      </c>
      <c r="P239" s="15" t="str">
        <f aca="false">IF($A239="","",IF(COUNTIF($A$3:$A239,$A239)=1,SUMIF(cobranza!$B$3:$B$1000,$A239,cobranza!$D$3:$D$1000),"↑"))</f>
        <v/>
      </c>
      <c r="Q239" s="15" t="str">
        <f aca="false">IF($A239="","",IF(COUNTIF($A$3:$A239,$A239)=1,SUMIFS($H$3:$H$1000,$A$3:$A$1000,$A239,$C$3:$C$1000,"&lt;&gt;Demo")-P239,"↑"))</f>
        <v/>
      </c>
      <c r="R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5" t="n">
        <f aca="false">IFERROR(H240-G240,"")</f>
        <v>0</v>
      </c>
      <c r="O240" s="16" t="str">
        <f aca="false">IFERROR(N240/H240,"")</f>
        <v/>
      </c>
      <c r="P240" s="15" t="str">
        <f aca="false">IF($A240="","",IF(COUNTIF($A$3:$A240,$A240)=1,SUMIF(cobranza!$B$3:$B$1000,$A240,cobranza!$D$3:$D$1000),"↑"))</f>
        <v/>
      </c>
      <c r="Q240" s="15" t="str">
        <f aca="false">IF($A240="","",IF(COUNTIF($A$3:$A240,$A240)=1,SUMIFS($H$3:$H$1000,$A$3:$A$1000,$A240,$C$3:$C$1000,"&lt;&gt;Demo")-P240,"↑"))</f>
        <v/>
      </c>
      <c r="R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5" t="n">
        <f aca="false">IFERROR(H241-G241,"")</f>
        <v>0</v>
      </c>
      <c r="O241" s="16" t="str">
        <f aca="false">IFERROR(N241/H241,"")</f>
        <v/>
      </c>
      <c r="P241" s="15" t="str">
        <f aca="false">IF($A241="","",IF(COUNTIF($A$3:$A241,$A241)=1,SUMIF(cobranza!$B$3:$B$1000,$A241,cobranza!$D$3:$D$1000),"↑"))</f>
        <v/>
      </c>
      <c r="Q241" s="15" t="str">
        <f aca="false">IF($A241="","",IF(COUNTIF($A$3:$A241,$A241)=1,SUMIFS($H$3:$H$1000,$A$3:$A$1000,$A241,$C$3:$C$1000,"&lt;&gt;Demo")-P241,"↑"))</f>
        <v/>
      </c>
      <c r="R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5" t="n">
        <f aca="false">IFERROR(H242-G242,"")</f>
        <v>0</v>
      </c>
      <c r="O242" s="16" t="str">
        <f aca="false">IFERROR(N242/H242,"")</f>
        <v/>
      </c>
      <c r="P242" s="15" t="str">
        <f aca="false">IF($A242="","",IF(COUNTIF($A$3:$A242,$A242)=1,SUMIF(cobranza!$B$3:$B$1000,$A242,cobranza!$D$3:$D$1000),"↑"))</f>
        <v/>
      </c>
      <c r="Q242" s="15" t="str">
        <f aca="false">IF($A242="","",IF(COUNTIF($A$3:$A242,$A242)=1,SUMIFS($H$3:$H$1000,$A$3:$A$1000,$A242,$C$3:$C$1000,"&lt;&gt;Demo")-P242,"↑"))</f>
        <v/>
      </c>
      <c r="R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5" t="n">
        <f aca="false">IFERROR(H243-G243,"")</f>
        <v>0</v>
      </c>
      <c r="O243" s="16" t="str">
        <f aca="false">IFERROR(N243/H243,"")</f>
        <v/>
      </c>
      <c r="P243" s="15" t="str">
        <f aca="false">IF($A243="","",IF(COUNTIF($A$3:$A243,$A243)=1,SUMIF(cobranza!$B$3:$B$1000,$A243,cobranza!$D$3:$D$1000),"↑"))</f>
        <v/>
      </c>
      <c r="Q243" s="15" t="str">
        <f aca="false">IF($A243="","",IF(COUNTIF($A$3:$A243,$A243)=1,SUMIFS($H$3:$H$1000,$A$3:$A$1000,$A243,$C$3:$C$1000,"&lt;&gt;Demo")-P243,"↑"))</f>
        <v/>
      </c>
      <c r="R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5" t="n">
        <f aca="false">IFERROR(H244-G244,"")</f>
        <v>0</v>
      </c>
      <c r="O244" s="16" t="str">
        <f aca="false">IFERROR(N244/H244,"")</f>
        <v/>
      </c>
      <c r="P244" s="15" t="str">
        <f aca="false">IF($A244="","",IF(COUNTIF($A$3:$A244,$A244)=1,SUMIF(cobranza!$B$3:$B$1000,$A244,cobranza!$D$3:$D$1000),"↑"))</f>
        <v/>
      </c>
      <c r="Q244" s="15" t="str">
        <f aca="false">IF($A244="","",IF(COUNTIF($A$3:$A244,$A244)=1,SUMIFS($H$3:$H$1000,$A$3:$A$1000,$A244,$C$3:$C$1000,"&lt;&gt;Demo")-P244,"↑"))</f>
        <v/>
      </c>
      <c r="R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5" t="n">
        <f aca="false">IFERROR(H245-G245,"")</f>
        <v>0</v>
      </c>
      <c r="O245" s="16" t="str">
        <f aca="false">IFERROR(N245/H245,"")</f>
        <v/>
      </c>
      <c r="P245" s="15" t="str">
        <f aca="false">IF($A245="","",IF(COUNTIF($A$3:$A245,$A245)=1,SUMIF(cobranza!$B$3:$B$1000,$A245,cobranza!$D$3:$D$1000),"↑"))</f>
        <v/>
      </c>
      <c r="Q245" s="15" t="str">
        <f aca="false">IF($A245="","",IF(COUNTIF($A$3:$A245,$A245)=1,SUMIFS($H$3:$H$1000,$A$3:$A$1000,$A245,$C$3:$C$1000,"&lt;&gt;Demo")-P245,"↑"))</f>
        <v/>
      </c>
      <c r="R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5" t="n">
        <f aca="false">IFERROR(H246-G246,"")</f>
        <v>0</v>
      </c>
      <c r="O246" s="16" t="str">
        <f aca="false">IFERROR(N246/H246,"")</f>
        <v/>
      </c>
      <c r="P246" s="15" t="str">
        <f aca="false">IF($A246="","",IF(COUNTIF($A$3:$A246,$A246)=1,SUMIF(cobranza!$B$3:$B$1000,$A246,cobranza!$D$3:$D$1000),"↑"))</f>
        <v/>
      </c>
      <c r="Q246" s="15" t="str">
        <f aca="false">IF($A246="","",IF(COUNTIF($A$3:$A246,$A246)=1,SUMIFS($H$3:$H$1000,$A$3:$A$1000,$A246,$C$3:$C$1000,"&lt;&gt;Demo")-P246,"↑"))</f>
        <v/>
      </c>
      <c r="R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5" t="n">
        <f aca="false">IFERROR(H247-G247,"")</f>
        <v>0</v>
      </c>
      <c r="O247" s="16" t="str">
        <f aca="false">IFERROR(N247/H247,"")</f>
        <v/>
      </c>
      <c r="P247" s="15" t="str">
        <f aca="false">IF($A247="","",IF(COUNTIF($A$3:$A247,$A247)=1,SUMIF(cobranza!$B$3:$B$1000,$A247,cobranza!$D$3:$D$1000),"↑"))</f>
        <v/>
      </c>
      <c r="Q247" s="15" t="str">
        <f aca="false">IF($A247="","",IF(COUNTIF($A$3:$A247,$A247)=1,SUMIFS($H$3:$H$1000,$A$3:$A$1000,$A247,$C$3:$C$1000,"&lt;&gt;Demo")-P247,"↑"))</f>
        <v/>
      </c>
      <c r="R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5" t="n">
        <f aca="false">IFERROR(H248-G248,"")</f>
        <v>0</v>
      </c>
      <c r="O248" s="16" t="str">
        <f aca="false">IFERROR(N248/H248,"")</f>
        <v/>
      </c>
      <c r="P248" s="15" t="str">
        <f aca="false">IF($A248="","",IF(COUNTIF($A$3:$A248,$A248)=1,SUMIF(cobranza!$B$3:$B$1000,$A248,cobranza!$D$3:$D$1000),"↑"))</f>
        <v/>
      </c>
      <c r="Q248" s="15" t="str">
        <f aca="false">IF($A248="","",IF(COUNTIF($A$3:$A248,$A248)=1,SUMIFS($H$3:$H$1000,$A$3:$A$1000,$A248,$C$3:$C$1000,"&lt;&gt;Demo")-P248,"↑"))</f>
        <v/>
      </c>
      <c r="R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5" t="n">
        <f aca="false">IFERROR(H249-G249,"")</f>
        <v>0</v>
      </c>
      <c r="O249" s="16" t="str">
        <f aca="false">IFERROR(N249/H249,"")</f>
        <v/>
      </c>
      <c r="P249" s="15" t="str">
        <f aca="false">IF($A249="","",IF(COUNTIF($A$3:$A249,$A249)=1,SUMIF(cobranza!$B$3:$B$1000,$A249,cobranza!$D$3:$D$1000),"↑"))</f>
        <v/>
      </c>
      <c r="Q249" s="15" t="str">
        <f aca="false">IF($A249="","",IF(COUNTIF($A$3:$A249,$A249)=1,SUMIFS($H$3:$H$1000,$A$3:$A$1000,$A249,$C$3:$C$1000,"&lt;&gt;Demo")-P249,"↑"))</f>
        <v/>
      </c>
      <c r="R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5" t="n">
        <f aca="false">IFERROR(H250-G250,"")</f>
        <v>0</v>
      </c>
      <c r="O250" s="16" t="str">
        <f aca="false">IFERROR(N250/H250,"")</f>
        <v/>
      </c>
      <c r="P250" s="15" t="str">
        <f aca="false">IF($A250="","",IF(COUNTIF($A$3:$A250,$A250)=1,SUMIF(cobranza!$B$3:$B$1000,$A250,cobranza!$D$3:$D$1000),"↑"))</f>
        <v/>
      </c>
      <c r="Q250" s="15" t="str">
        <f aca="false">IF($A250="","",IF(COUNTIF($A$3:$A250,$A250)=1,SUMIFS($H$3:$H$1000,$A$3:$A$1000,$A250,$C$3:$C$1000,"&lt;&gt;Demo")-P250,"↑"))</f>
        <v/>
      </c>
      <c r="R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5" t="n">
        <f aca="false">IFERROR(H251-G251,"")</f>
        <v>0</v>
      </c>
      <c r="O251" s="16" t="str">
        <f aca="false">IFERROR(N251/H251,"")</f>
        <v/>
      </c>
      <c r="P251" s="15" t="str">
        <f aca="false">IF($A251="","",IF(COUNTIF($A$3:$A251,$A251)=1,SUMIF(cobranza!$B$3:$B$1000,$A251,cobranza!$D$3:$D$1000),"↑"))</f>
        <v/>
      </c>
      <c r="Q251" s="15" t="str">
        <f aca="false">IF($A251="","",IF(COUNTIF($A$3:$A251,$A251)=1,SUMIFS($H$3:$H$1000,$A$3:$A$1000,$A251,$C$3:$C$1000,"&lt;&gt;Demo")-P251,"↑"))</f>
        <v/>
      </c>
      <c r="R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5" t="n">
        <f aca="false">IFERROR(H252-G252,"")</f>
        <v>0</v>
      </c>
      <c r="O252" s="16" t="str">
        <f aca="false">IFERROR(N252/H252,"")</f>
        <v/>
      </c>
      <c r="P252" s="15" t="str">
        <f aca="false">IF($A252="","",IF(COUNTIF($A$3:$A252,$A252)=1,SUMIF(cobranza!$B$3:$B$1000,$A252,cobranza!$D$3:$D$1000),"↑"))</f>
        <v/>
      </c>
      <c r="Q252" s="15" t="str">
        <f aca="false">IF($A252="","",IF(COUNTIF($A$3:$A252,$A252)=1,SUMIFS($H$3:$H$1000,$A$3:$A$1000,$A252,$C$3:$C$1000,"&lt;&gt;Demo")-P252,"↑"))</f>
        <v/>
      </c>
      <c r="R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5" t="n">
        <f aca="false">IFERROR(H253-G253,"")</f>
        <v>0</v>
      </c>
      <c r="O253" s="16" t="str">
        <f aca="false">IFERROR(N253/H253,"")</f>
        <v/>
      </c>
      <c r="P253" s="15" t="str">
        <f aca="false">IF($A253="","",IF(COUNTIF($A$3:$A253,$A253)=1,SUMIF(cobranza!$B$3:$B$1000,$A253,cobranza!$D$3:$D$1000),"↑"))</f>
        <v/>
      </c>
      <c r="Q253" s="15" t="str">
        <f aca="false">IF($A253="","",IF(COUNTIF($A$3:$A253,$A253)=1,SUMIFS($H$3:$H$1000,$A$3:$A$1000,$A253,$C$3:$C$1000,"&lt;&gt;Demo")-P253,"↑"))</f>
        <v/>
      </c>
      <c r="R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5" t="n">
        <f aca="false">IFERROR(H254-G254,"")</f>
        <v>0</v>
      </c>
      <c r="O254" s="16" t="str">
        <f aca="false">IFERROR(N254/H254,"")</f>
        <v/>
      </c>
      <c r="P254" s="15" t="str">
        <f aca="false">IF($A254="","",IF(COUNTIF($A$3:$A254,$A254)=1,SUMIF(cobranza!$B$3:$B$1000,$A254,cobranza!$D$3:$D$1000),"↑"))</f>
        <v/>
      </c>
      <c r="Q254" s="15" t="str">
        <f aca="false">IF($A254="","",IF(COUNTIF($A$3:$A254,$A254)=1,SUMIFS($H$3:$H$1000,$A$3:$A$1000,$A254,$C$3:$C$1000,"&lt;&gt;Demo")-P254,"↑"))</f>
        <v/>
      </c>
      <c r="R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5" t="n">
        <f aca="false">IFERROR(H255-G255,"")</f>
        <v>0</v>
      </c>
      <c r="O255" s="16" t="str">
        <f aca="false">IFERROR(N255/H255,"")</f>
        <v/>
      </c>
      <c r="P255" s="15" t="str">
        <f aca="false">IF($A255="","",IF(COUNTIF($A$3:$A255,$A255)=1,SUMIF(cobranza!$B$3:$B$1000,$A255,cobranza!$D$3:$D$1000),"↑"))</f>
        <v/>
      </c>
      <c r="Q255" s="15" t="str">
        <f aca="false">IF($A255="","",IF(COUNTIF($A$3:$A255,$A255)=1,SUMIFS($H$3:$H$1000,$A$3:$A$1000,$A255,$C$3:$C$1000,"&lt;&gt;Demo")-P255,"↑"))</f>
        <v/>
      </c>
      <c r="R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5" t="n">
        <f aca="false">IFERROR(H256-G256,"")</f>
        <v>0</v>
      </c>
      <c r="O256" s="16" t="str">
        <f aca="false">IFERROR(N256/H256,"")</f>
        <v/>
      </c>
      <c r="P256" s="15" t="str">
        <f aca="false">IF($A256="","",IF(COUNTIF($A$3:$A256,$A256)=1,SUMIF(cobranza!$B$3:$B$1000,$A256,cobranza!$D$3:$D$1000),"↑"))</f>
        <v/>
      </c>
      <c r="Q256" s="15" t="str">
        <f aca="false">IF($A256="","",IF(COUNTIF($A$3:$A256,$A256)=1,SUMIFS($H$3:$H$1000,$A$3:$A$1000,$A256,$C$3:$C$1000,"&lt;&gt;Demo")-P256,"↑"))</f>
        <v/>
      </c>
      <c r="R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5" t="n">
        <f aca="false">IFERROR(H257-G257,"")</f>
        <v>0</v>
      </c>
      <c r="O257" s="16" t="str">
        <f aca="false">IFERROR(N257/H257,"")</f>
        <v/>
      </c>
      <c r="P257" s="15" t="str">
        <f aca="false">IF($A257="","",IF(COUNTIF($A$3:$A257,$A257)=1,SUMIF(cobranza!$B$3:$B$1000,$A257,cobranza!$D$3:$D$1000),"↑"))</f>
        <v/>
      </c>
      <c r="Q257" s="15" t="str">
        <f aca="false">IF($A257="","",IF(COUNTIF($A$3:$A257,$A257)=1,SUMIFS($H$3:$H$1000,$A$3:$A$1000,$A257,$C$3:$C$1000,"&lt;&gt;Demo")-P257,"↑"))</f>
        <v/>
      </c>
      <c r="R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5" t="n">
        <f aca="false">IFERROR(H258-G258,"")</f>
        <v>0</v>
      </c>
      <c r="O258" s="16" t="str">
        <f aca="false">IFERROR(N258/H258,"")</f>
        <v/>
      </c>
      <c r="P258" s="15" t="str">
        <f aca="false">IF($A258="","",IF(COUNTIF($A$3:$A258,$A258)=1,SUMIF(cobranza!$B$3:$B$1000,$A258,cobranza!$D$3:$D$1000),"↑"))</f>
        <v/>
      </c>
      <c r="Q258" s="15" t="str">
        <f aca="false">IF($A258="","",IF(COUNTIF($A$3:$A258,$A258)=1,SUMIFS($H$3:$H$1000,$A$3:$A$1000,$A258,$C$3:$C$1000,"&lt;&gt;Demo")-P258,"↑"))</f>
        <v/>
      </c>
      <c r="R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5" t="n">
        <f aca="false">IFERROR(H259-G259,"")</f>
        <v>0</v>
      </c>
      <c r="O259" s="16" t="str">
        <f aca="false">IFERROR(N259/H259,"")</f>
        <v/>
      </c>
      <c r="P259" s="15" t="str">
        <f aca="false">IF($A259="","",IF(COUNTIF($A$3:$A259,$A259)=1,SUMIF(cobranza!$B$3:$B$1000,$A259,cobranza!$D$3:$D$1000),"↑"))</f>
        <v/>
      </c>
      <c r="Q259" s="15" t="str">
        <f aca="false">IF($A259="","",IF(COUNTIF($A$3:$A259,$A259)=1,SUMIFS($H$3:$H$1000,$A$3:$A$1000,$A259,$C$3:$C$1000,"&lt;&gt;Demo")-P259,"↑"))</f>
        <v/>
      </c>
      <c r="R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5" t="n">
        <f aca="false">IFERROR(H260-G260,"")</f>
        <v>0</v>
      </c>
      <c r="O260" s="16" t="str">
        <f aca="false">IFERROR(N260/H260,"")</f>
        <v/>
      </c>
      <c r="P260" s="15" t="str">
        <f aca="false">IF($A260="","",IF(COUNTIF($A$3:$A260,$A260)=1,SUMIF(cobranza!$B$3:$B$1000,$A260,cobranza!$D$3:$D$1000),"↑"))</f>
        <v/>
      </c>
      <c r="Q260" s="15" t="str">
        <f aca="false">IF($A260="","",IF(COUNTIF($A$3:$A260,$A260)=1,SUMIFS($H$3:$H$1000,$A$3:$A$1000,$A260,$C$3:$C$1000,"&lt;&gt;Demo")-P260,"↑"))</f>
        <v/>
      </c>
      <c r="R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5" t="n">
        <f aca="false">IFERROR(H261-G261,"")</f>
        <v>0</v>
      </c>
      <c r="O261" s="16" t="str">
        <f aca="false">IFERROR(N261/H261,"")</f>
        <v/>
      </c>
      <c r="P261" s="15" t="str">
        <f aca="false">IF($A261="","",IF(COUNTIF($A$3:$A261,$A261)=1,SUMIF(cobranza!$B$3:$B$1000,$A261,cobranza!$D$3:$D$1000),"↑"))</f>
        <v/>
      </c>
      <c r="Q261" s="15" t="str">
        <f aca="false">IF($A261="","",IF(COUNTIF($A$3:$A261,$A261)=1,SUMIFS($H$3:$H$1000,$A$3:$A$1000,$A261,$C$3:$C$1000,"&lt;&gt;Demo")-P261,"↑"))</f>
        <v/>
      </c>
      <c r="R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5" t="n">
        <f aca="false">IFERROR(H262-G262,"")</f>
        <v>0</v>
      </c>
      <c r="O262" s="16" t="str">
        <f aca="false">IFERROR(N262/H262,"")</f>
        <v/>
      </c>
      <c r="P262" s="15" t="str">
        <f aca="false">IF($A262="","",IF(COUNTIF($A$3:$A262,$A262)=1,SUMIF(cobranza!$B$3:$B$1000,$A262,cobranza!$D$3:$D$1000),"↑"))</f>
        <v/>
      </c>
      <c r="Q262" s="15" t="str">
        <f aca="false">IF($A262="","",IF(COUNTIF($A$3:$A262,$A262)=1,SUMIFS($H$3:$H$1000,$A$3:$A$1000,$A262,$C$3:$C$1000,"&lt;&gt;Demo")-P262,"↑"))</f>
        <v/>
      </c>
      <c r="R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5" t="n">
        <f aca="false">IFERROR(H263-G263,"")</f>
        <v>0</v>
      </c>
      <c r="O263" s="16" t="str">
        <f aca="false">IFERROR(N263/H263,"")</f>
        <v/>
      </c>
      <c r="P263" s="15" t="str">
        <f aca="false">IF($A263="","",IF(COUNTIF($A$3:$A263,$A263)=1,SUMIF(cobranza!$B$3:$B$1000,$A263,cobranza!$D$3:$D$1000),"↑"))</f>
        <v/>
      </c>
      <c r="Q263" s="15" t="str">
        <f aca="false">IF($A263="","",IF(COUNTIF($A$3:$A263,$A263)=1,SUMIFS($H$3:$H$1000,$A$3:$A$1000,$A263,$C$3:$C$1000,"&lt;&gt;Demo")-P263,"↑"))</f>
        <v/>
      </c>
      <c r="R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5" t="n">
        <f aca="false">IFERROR(H264-G264,"")</f>
        <v>0</v>
      </c>
      <c r="O264" s="16" t="str">
        <f aca="false">IFERROR(N264/H264,"")</f>
        <v/>
      </c>
      <c r="P264" s="15" t="str">
        <f aca="false">IF($A264="","",IF(COUNTIF($A$3:$A264,$A264)=1,SUMIF(cobranza!$B$3:$B$1000,$A264,cobranza!$D$3:$D$1000),"↑"))</f>
        <v/>
      </c>
      <c r="Q264" s="15" t="str">
        <f aca="false">IF($A264="","",IF(COUNTIF($A$3:$A264,$A264)=1,SUMIFS($H$3:$H$1000,$A$3:$A$1000,$A264,$C$3:$C$1000,"&lt;&gt;Demo")-P264,"↑"))</f>
        <v/>
      </c>
      <c r="R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5" t="n">
        <f aca="false">IFERROR(H265-G265,"")</f>
        <v>0</v>
      </c>
      <c r="O265" s="16" t="str">
        <f aca="false">IFERROR(N265/H265,"")</f>
        <v/>
      </c>
      <c r="P265" s="15" t="str">
        <f aca="false">IF($A265="","",IF(COUNTIF($A$3:$A265,$A265)=1,SUMIF(cobranza!$B$3:$B$1000,$A265,cobranza!$D$3:$D$1000),"↑"))</f>
        <v/>
      </c>
      <c r="Q265" s="15" t="str">
        <f aca="false">IF($A265="","",IF(COUNTIF($A$3:$A265,$A265)=1,SUMIFS($H$3:$H$1000,$A$3:$A$1000,$A265,$C$3:$C$1000,"&lt;&gt;Demo")-P265,"↑"))</f>
        <v/>
      </c>
      <c r="R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5" t="n">
        <f aca="false">IFERROR(H266-G266,"")</f>
        <v>0</v>
      </c>
      <c r="O266" s="16" t="str">
        <f aca="false">IFERROR(N266/H266,"")</f>
        <v/>
      </c>
      <c r="P266" s="15" t="str">
        <f aca="false">IF($A266="","",IF(COUNTIF($A$3:$A266,$A266)=1,SUMIF(cobranza!$B$3:$B$1000,$A266,cobranza!$D$3:$D$1000),"↑"))</f>
        <v/>
      </c>
      <c r="Q266" s="15" t="str">
        <f aca="false">IF($A266="","",IF(COUNTIF($A$3:$A266,$A266)=1,SUMIFS($H$3:$H$1000,$A$3:$A$1000,$A266,$C$3:$C$1000,"&lt;&gt;Demo")-P266,"↑"))</f>
        <v/>
      </c>
      <c r="R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5" t="n">
        <f aca="false">IFERROR(H267-G267,"")</f>
        <v>0</v>
      </c>
      <c r="O267" s="16" t="str">
        <f aca="false">IFERROR(N267/H267,"")</f>
        <v/>
      </c>
      <c r="P267" s="15" t="str">
        <f aca="false">IF($A267="","",IF(COUNTIF($A$3:$A267,$A267)=1,SUMIF(cobranza!$B$3:$B$1000,$A267,cobranza!$D$3:$D$1000),"↑"))</f>
        <v/>
      </c>
      <c r="Q267" s="15" t="str">
        <f aca="false">IF($A267="","",IF(COUNTIF($A$3:$A267,$A267)=1,SUMIFS($H$3:$H$1000,$A$3:$A$1000,$A267,$C$3:$C$1000,"&lt;&gt;Demo")-P267,"↑"))</f>
        <v/>
      </c>
      <c r="R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5" t="n">
        <f aca="false">IFERROR(H268-G268,"")</f>
        <v>0</v>
      </c>
      <c r="O268" s="16" t="str">
        <f aca="false">IFERROR(N268/H268,"")</f>
        <v/>
      </c>
      <c r="P268" s="15" t="str">
        <f aca="false">IF($A268="","",IF(COUNTIF($A$3:$A268,$A268)=1,SUMIF(cobranza!$B$3:$B$1000,$A268,cobranza!$D$3:$D$1000),"↑"))</f>
        <v/>
      </c>
      <c r="Q268" s="15" t="str">
        <f aca="false">IF($A268="","",IF(COUNTIF($A$3:$A268,$A268)=1,SUMIFS($H$3:$H$1000,$A$3:$A$1000,$A268,$C$3:$C$1000,"&lt;&gt;Demo")-P268,"↑"))</f>
        <v/>
      </c>
      <c r="R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5" t="n">
        <f aca="false">IFERROR(H269-G269,"")</f>
        <v>0</v>
      </c>
      <c r="O269" s="16" t="str">
        <f aca="false">IFERROR(N269/H269,"")</f>
        <v/>
      </c>
      <c r="P269" s="15" t="str">
        <f aca="false">IF($A269="","",IF(COUNTIF($A$3:$A269,$A269)=1,SUMIF(cobranza!$B$3:$B$1000,$A269,cobranza!$D$3:$D$1000),"↑"))</f>
        <v/>
      </c>
      <c r="Q269" s="15" t="str">
        <f aca="false">IF($A269="","",IF(COUNTIF($A$3:$A269,$A269)=1,SUMIFS($H$3:$H$1000,$A$3:$A$1000,$A269,$C$3:$C$1000,"&lt;&gt;Demo")-P269,"↑"))</f>
        <v/>
      </c>
      <c r="R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5" t="n">
        <f aca="false">IFERROR(H270-G270,"")</f>
        <v>0</v>
      </c>
      <c r="O270" s="16" t="str">
        <f aca="false">IFERROR(N270/H270,"")</f>
        <v/>
      </c>
      <c r="P270" s="15" t="str">
        <f aca="false">IF($A270="","",IF(COUNTIF($A$3:$A270,$A270)=1,SUMIF(cobranza!$B$3:$B$1000,$A270,cobranza!$D$3:$D$1000),"↑"))</f>
        <v/>
      </c>
      <c r="Q270" s="15" t="str">
        <f aca="false">IF($A270="","",IF(COUNTIF($A$3:$A270,$A270)=1,SUMIFS($H$3:$H$1000,$A$3:$A$1000,$A270,$C$3:$C$1000,"&lt;&gt;Demo")-P270,"↑"))</f>
        <v/>
      </c>
      <c r="R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5" t="n">
        <f aca="false">IFERROR(H271-G271,"")</f>
        <v>0</v>
      </c>
      <c r="O271" s="16" t="str">
        <f aca="false">IFERROR(N271/H271,"")</f>
        <v/>
      </c>
      <c r="P271" s="15" t="str">
        <f aca="false">IF($A271="","",IF(COUNTIF($A$3:$A271,$A271)=1,SUMIF(cobranza!$B$3:$B$1000,$A271,cobranza!$D$3:$D$1000),"↑"))</f>
        <v/>
      </c>
      <c r="Q271" s="15" t="str">
        <f aca="false">IF($A271="","",IF(COUNTIF($A$3:$A271,$A271)=1,SUMIFS($H$3:$H$1000,$A$3:$A$1000,$A271,$C$3:$C$1000,"&lt;&gt;Demo")-P271,"↑"))</f>
        <v/>
      </c>
      <c r="R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5" t="n">
        <f aca="false">IFERROR(H272-G272,"")</f>
        <v>0</v>
      </c>
      <c r="O272" s="16" t="str">
        <f aca="false">IFERROR(N272/H272,"")</f>
        <v/>
      </c>
      <c r="P272" s="15" t="str">
        <f aca="false">IF($A272="","",IF(COUNTIF($A$3:$A272,$A272)=1,SUMIF(cobranza!$B$3:$B$1000,$A272,cobranza!$D$3:$D$1000),"↑"))</f>
        <v/>
      </c>
      <c r="Q272" s="15" t="str">
        <f aca="false">IF($A272="","",IF(COUNTIF($A$3:$A272,$A272)=1,SUMIFS($H$3:$H$1000,$A$3:$A$1000,$A272,$C$3:$C$1000,"&lt;&gt;Demo")-P272,"↑"))</f>
        <v/>
      </c>
      <c r="R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5" t="n">
        <f aca="false">IFERROR(H273-G273,"")</f>
        <v>0</v>
      </c>
      <c r="O273" s="16" t="str">
        <f aca="false">IFERROR(N273/H273,"")</f>
        <v/>
      </c>
      <c r="P273" s="15" t="str">
        <f aca="false">IF($A273="","",IF(COUNTIF($A$3:$A273,$A273)=1,SUMIF(cobranza!$B$3:$B$1000,$A273,cobranza!$D$3:$D$1000),"↑"))</f>
        <v/>
      </c>
      <c r="Q273" s="15" t="str">
        <f aca="false">IF($A273="","",IF(COUNTIF($A$3:$A273,$A273)=1,SUMIFS($H$3:$H$1000,$A$3:$A$1000,$A273,$C$3:$C$1000,"&lt;&gt;Demo")-P273,"↑"))</f>
        <v/>
      </c>
      <c r="R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5" t="n">
        <f aca="false">IFERROR(H274-G274,"")</f>
        <v>0</v>
      </c>
      <c r="O274" s="16" t="str">
        <f aca="false">IFERROR(N274/H274,"")</f>
        <v/>
      </c>
      <c r="P274" s="15" t="str">
        <f aca="false">IF($A274="","",IF(COUNTIF($A$3:$A274,$A274)=1,SUMIF(cobranza!$B$3:$B$1000,$A274,cobranza!$D$3:$D$1000),"↑"))</f>
        <v/>
      </c>
      <c r="Q274" s="15" t="str">
        <f aca="false">IF($A274="","",IF(COUNTIF($A$3:$A274,$A274)=1,SUMIFS($H$3:$H$1000,$A$3:$A$1000,$A274,$C$3:$C$1000,"&lt;&gt;Demo")-P274,"↑"))</f>
        <v/>
      </c>
      <c r="R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5" t="n">
        <f aca="false">IFERROR(H275-G275,"")</f>
        <v>0</v>
      </c>
      <c r="O275" s="16" t="str">
        <f aca="false">IFERROR(N275/H275,"")</f>
        <v/>
      </c>
      <c r="P275" s="15" t="str">
        <f aca="false">IF($A275="","",IF(COUNTIF($A$3:$A275,$A275)=1,SUMIF(cobranza!$B$3:$B$1000,$A275,cobranza!$D$3:$D$1000),"↑"))</f>
        <v/>
      </c>
      <c r="Q275" s="15" t="str">
        <f aca="false">IF($A275="","",IF(COUNTIF($A$3:$A275,$A275)=1,SUMIFS($H$3:$H$1000,$A$3:$A$1000,$A275,$C$3:$C$1000,"&lt;&gt;Demo")-P275,"↑"))</f>
        <v/>
      </c>
      <c r="R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5" t="n">
        <f aca="false">IFERROR(H276-G276,"")</f>
        <v>0</v>
      </c>
      <c r="O276" s="16" t="str">
        <f aca="false">IFERROR(N276/H276,"")</f>
        <v/>
      </c>
      <c r="P276" s="15" t="str">
        <f aca="false">IF($A276="","",IF(COUNTIF($A$3:$A276,$A276)=1,SUMIF(cobranza!$B$3:$B$1000,$A276,cobranza!$D$3:$D$1000),"↑"))</f>
        <v/>
      </c>
      <c r="Q276" s="15" t="str">
        <f aca="false">IF($A276="","",IF(COUNTIF($A$3:$A276,$A276)=1,SUMIFS($H$3:$H$1000,$A$3:$A$1000,$A276,$C$3:$C$1000,"&lt;&gt;Demo")-P276,"↑"))</f>
        <v/>
      </c>
      <c r="R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5" t="n">
        <f aca="false">IFERROR(H277-G277,"")</f>
        <v>0</v>
      </c>
      <c r="O277" s="16" t="str">
        <f aca="false">IFERROR(N277/H277,"")</f>
        <v/>
      </c>
      <c r="P277" s="15" t="str">
        <f aca="false">IF($A277="","",IF(COUNTIF($A$3:$A277,$A277)=1,SUMIF(cobranza!$B$3:$B$1000,$A277,cobranza!$D$3:$D$1000),"↑"))</f>
        <v/>
      </c>
      <c r="Q277" s="15" t="str">
        <f aca="false">IF($A277="","",IF(COUNTIF($A$3:$A277,$A277)=1,SUMIFS($H$3:$H$1000,$A$3:$A$1000,$A277,$C$3:$C$1000,"&lt;&gt;Demo")-P277,"↑"))</f>
        <v/>
      </c>
      <c r="R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5" t="n">
        <f aca="false">IFERROR(H278-G278,"")</f>
        <v>0</v>
      </c>
      <c r="O278" s="16" t="str">
        <f aca="false">IFERROR(N278/H278,"")</f>
        <v/>
      </c>
      <c r="P278" s="15" t="str">
        <f aca="false">IF($A278="","",IF(COUNTIF($A$3:$A278,$A278)=1,SUMIF(cobranza!$B$3:$B$1000,$A278,cobranza!$D$3:$D$1000),"↑"))</f>
        <v/>
      </c>
      <c r="Q278" s="15" t="str">
        <f aca="false">IF($A278="","",IF(COUNTIF($A$3:$A278,$A278)=1,SUMIFS($H$3:$H$1000,$A$3:$A$1000,$A278,$C$3:$C$1000,"&lt;&gt;Demo")-P278,"↑"))</f>
        <v/>
      </c>
      <c r="R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5" t="n">
        <f aca="false">IFERROR(H279-G279,"")</f>
        <v>0</v>
      </c>
      <c r="O279" s="16" t="str">
        <f aca="false">IFERROR(N279/H279,"")</f>
        <v/>
      </c>
      <c r="P279" s="15" t="str">
        <f aca="false">IF($A279="","",IF(COUNTIF($A$3:$A279,$A279)=1,SUMIF(cobranza!$B$3:$B$1000,$A279,cobranza!$D$3:$D$1000),"↑"))</f>
        <v/>
      </c>
      <c r="Q279" s="15" t="str">
        <f aca="false">IF($A279="","",IF(COUNTIF($A$3:$A279,$A279)=1,SUMIFS($H$3:$H$1000,$A$3:$A$1000,$A279,$C$3:$C$1000,"&lt;&gt;Demo")-P279,"↑"))</f>
        <v/>
      </c>
      <c r="R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5" t="n">
        <f aca="false">IFERROR(H280-G280,"")</f>
        <v>0</v>
      </c>
      <c r="O280" s="16" t="str">
        <f aca="false">IFERROR(N280/H280,"")</f>
        <v/>
      </c>
      <c r="P280" s="15" t="str">
        <f aca="false">IF($A280="","",IF(COUNTIF($A$3:$A280,$A280)=1,SUMIF(cobranza!$B$3:$B$1000,$A280,cobranza!$D$3:$D$1000),"↑"))</f>
        <v/>
      </c>
      <c r="Q280" s="15" t="str">
        <f aca="false">IF($A280="","",IF(COUNTIF($A$3:$A280,$A280)=1,SUMIFS($H$3:$H$1000,$A$3:$A$1000,$A280,$C$3:$C$1000,"&lt;&gt;Demo")-P280,"↑"))</f>
        <v/>
      </c>
      <c r="R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5" t="n">
        <f aca="false">IFERROR(H281-G281,"")</f>
        <v>0</v>
      </c>
      <c r="O281" s="16" t="str">
        <f aca="false">IFERROR(N281/H281,"")</f>
        <v/>
      </c>
      <c r="P281" s="15" t="str">
        <f aca="false">IF($A281="","",IF(COUNTIF($A$3:$A281,$A281)=1,SUMIF(cobranza!$B$3:$B$1000,$A281,cobranza!$D$3:$D$1000),"↑"))</f>
        <v/>
      </c>
      <c r="Q281" s="15" t="str">
        <f aca="false">IF($A281="","",IF(COUNTIF($A$3:$A281,$A281)=1,SUMIFS($H$3:$H$1000,$A$3:$A$1000,$A281,$C$3:$C$1000,"&lt;&gt;Demo")-P281,"↑"))</f>
        <v/>
      </c>
      <c r="R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5" t="n">
        <f aca="false">IFERROR(H282-G282,"")</f>
        <v>0</v>
      </c>
      <c r="O282" s="16" t="str">
        <f aca="false">IFERROR(N282/H282,"")</f>
        <v/>
      </c>
      <c r="P282" s="15" t="str">
        <f aca="false">IF($A282="","",IF(COUNTIF($A$3:$A282,$A282)=1,SUMIF(cobranza!$B$3:$B$1000,$A282,cobranza!$D$3:$D$1000),"↑"))</f>
        <v/>
      </c>
      <c r="Q282" s="15" t="str">
        <f aca="false">IF($A282="","",IF(COUNTIF($A$3:$A282,$A282)=1,SUMIFS($H$3:$H$1000,$A$3:$A$1000,$A282,$C$3:$C$1000,"&lt;&gt;Demo")-P282,"↑"))</f>
        <v/>
      </c>
      <c r="R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5" t="n">
        <f aca="false">IFERROR(H283-G283,"")</f>
        <v>0</v>
      </c>
      <c r="O283" s="16" t="str">
        <f aca="false">IFERROR(N283/H283,"")</f>
        <v/>
      </c>
      <c r="P283" s="15" t="str">
        <f aca="false">IF($A283="","",IF(COUNTIF($A$3:$A283,$A283)=1,SUMIF(cobranza!$B$3:$B$1000,$A283,cobranza!$D$3:$D$1000),"↑"))</f>
        <v/>
      </c>
      <c r="Q283" s="15" t="str">
        <f aca="false">IF($A283="","",IF(COUNTIF($A$3:$A283,$A283)=1,SUMIFS($H$3:$H$1000,$A$3:$A$1000,$A283,$C$3:$C$1000,"&lt;&gt;Demo")-P283,"↑"))</f>
        <v/>
      </c>
      <c r="R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5" t="n">
        <f aca="false">IFERROR(H284-G284,"")</f>
        <v>0</v>
      </c>
      <c r="O284" s="16" t="str">
        <f aca="false">IFERROR(N284/H284,"")</f>
        <v/>
      </c>
      <c r="P284" s="15" t="str">
        <f aca="false">IF($A284="","",IF(COUNTIF($A$3:$A284,$A284)=1,SUMIF(cobranza!$B$3:$B$1000,$A284,cobranza!$D$3:$D$1000),"↑"))</f>
        <v/>
      </c>
      <c r="Q284" s="15" t="str">
        <f aca="false">IF($A284="","",IF(COUNTIF($A$3:$A284,$A284)=1,SUMIFS($H$3:$H$1000,$A$3:$A$1000,$A284,$C$3:$C$1000,"&lt;&gt;Demo")-P284,"↑"))</f>
        <v/>
      </c>
      <c r="R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5" t="n">
        <f aca="false">IFERROR(H285-G285,"")</f>
        <v>0</v>
      </c>
      <c r="O285" s="16" t="str">
        <f aca="false">IFERROR(N285/H285,"")</f>
        <v/>
      </c>
      <c r="P285" s="15" t="str">
        <f aca="false">IF($A285="","",IF(COUNTIF($A$3:$A285,$A285)=1,SUMIF(cobranza!$B$3:$B$1000,$A285,cobranza!$D$3:$D$1000),"↑"))</f>
        <v/>
      </c>
      <c r="Q285" s="15" t="str">
        <f aca="false">IF($A285="","",IF(COUNTIF($A$3:$A285,$A285)=1,SUMIFS($H$3:$H$1000,$A$3:$A$1000,$A285,$C$3:$C$1000,"&lt;&gt;Demo")-P285,"↑"))</f>
        <v/>
      </c>
      <c r="R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5" t="n">
        <f aca="false">IFERROR(H286-G286,"")</f>
        <v>0</v>
      </c>
      <c r="O286" s="16" t="str">
        <f aca="false">IFERROR(N286/H286,"")</f>
        <v/>
      </c>
      <c r="P286" s="15" t="str">
        <f aca="false">IF($A286="","",IF(COUNTIF($A$3:$A286,$A286)=1,SUMIF(cobranza!$B$3:$B$1000,$A286,cobranza!$D$3:$D$1000),"↑"))</f>
        <v/>
      </c>
      <c r="Q286" s="15" t="str">
        <f aca="false">IF($A286="","",IF(COUNTIF($A$3:$A286,$A286)=1,SUMIFS($H$3:$H$1000,$A$3:$A$1000,$A286,$C$3:$C$1000,"&lt;&gt;Demo")-P286,"↑"))</f>
        <v/>
      </c>
      <c r="R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5" t="n">
        <f aca="false">IFERROR(H287-G287,"")</f>
        <v>0</v>
      </c>
      <c r="O287" s="16" t="str">
        <f aca="false">IFERROR(N287/H287,"")</f>
        <v/>
      </c>
      <c r="P287" s="15" t="str">
        <f aca="false">IF($A287="","",IF(COUNTIF($A$3:$A287,$A287)=1,SUMIF(cobranza!$B$3:$B$1000,$A287,cobranza!$D$3:$D$1000),"↑"))</f>
        <v/>
      </c>
      <c r="Q287" s="15" t="str">
        <f aca="false">IF($A287="","",IF(COUNTIF($A$3:$A287,$A287)=1,SUMIFS($H$3:$H$1000,$A$3:$A$1000,$A287,$C$3:$C$1000,"&lt;&gt;Demo")-P287,"↑"))</f>
        <v/>
      </c>
      <c r="R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5" t="n">
        <f aca="false">IFERROR(H288-G288,"")</f>
        <v>0</v>
      </c>
      <c r="O288" s="16" t="str">
        <f aca="false">IFERROR(N288/H288,"")</f>
        <v/>
      </c>
      <c r="P288" s="15" t="str">
        <f aca="false">IF($A288="","",IF(COUNTIF($A$3:$A288,$A288)=1,SUMIF(cobranza!$B$3:$B$1000,$A288,cobranza!$D$3:$D$1000),"↑"))</f>
        <v/>
      </c>
      <c r="Q288" s="15" t="str">
        <f aca="false">IF($A288="","",IF(COUNTIF($A$3:$A288,$A288)=1,SUMIFS($H$3:$H$1000,$A$3:$A$1000,$A288,$C$3:$C$1000,"&lt;&gt;Demo")-P288,"↑"))</f>
        <v/>
      </c>
      <c r="R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5" t="n">
        <f aca="false">IFERROR(H289-G289,"")</f>
        <v>0</v>
      </c>
      <c r="O289" s="16" t="str">
        <f aca="false">IFERROR(N289/H289,"")</f>
        <v/>
      </c>
      <c r="P289" s="15" t="str">
        <f aca="false">IF($A289="","",IF(COUNTIF($A$3:$A289,$A289)=1,SUMIF(cobranza!$B$3:$B$1000,$A289,cobranza!$D$3:$D$1000),"↑"))</f>
        <v/>
      </c>
      <c r="Q289" s="15" t="str">
        <f aca="false">IF($A289="","",IF(COUNTIF($A$3:$A289,$A289)=1,SUMIFS($H$3:$H$1000,$A$3:$A$1000,$A289,$C$3:$C$1000,"&lt;&gt;Demo")-P289,"↑"))</f>
        <v/>
      </c>
      <c r="R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5" t="n">
        <f aca="false">IFERROR(H290-G290,"")</f>
        <v>0</v>
      </c>
      <c r="O290" s="16" t="str">
        <f aca="false">IFERROR(N290/H290,"")</f>
        <v/>
      </c>
      <c r="P290" s="15" t="str">
        <f aca="false">IF($A290="","",IF(COUNTIF($A$3:$A290,$A290)=1,SUMIF(cobranza!$B$3:$B$1000,$A290,cobranza!$D$3:$D$1000),"↑"))</f>
        <v/>
      </c>
      <c r="Q290" s="15" t="str">
        <f aca="false">IF($A290="","",IF(COUNTIF($A$3:$A290,$A290)=1,SUMIFS($H$3:$H$1000,$A$3:$A$1000,$A290,$C$3:$C$1000,"&lt;&gt;Demo")-P290,"↑"))</f>
        <v/>
      </c>
      <c r="R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5" t="n">
        <f aca="false">IFERROR(H291-G291,"")</f>
        <v>0</v>
      </c>
      <c r="O291" s="16" t="str">
        <f aca="false">IFERROR(N291/H291,"")</f>
        <v/>
      </c>
      <c r="P291" s="15" t="str">
        <f aca="false">IF($A291="","",IF(COUNTIF($A$3:$A291,$A291)=1,SUMIF(cobranza!$B$3:$B$1000,$A291,cobranza!$D$3:$D$1000),"↑"))</f>
        <v/>
      </c>
      <c r="Q291" s="15" t="str">
        <f aca="false">IF($A291="","",IF(COUNTIF($A$3:$A291,$A291)=1,SUMIFS($H$3:$H$1000,$A$3:$A$1000,$A291,$C$3:$C$1000,"&lt;&gt;Demo")-P291,"↑"))</f>
        <v/>
      </c>
      <c r="R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5" t="n">
        <f aca="false">IFERROR(H292-G292,"")</f>
        <v>0</v>
      </c>
      <c r="O292" s="16" t="str">
        <f aca="false">IFERROR(N292/H292,"")</f>
        <v/>
      </c>
      <c r="P292" s="15" t="str">
        <f aca="false">IF($A292="","",IF(COUNTIF($A$3:$A292,$A292)=1,SUMIF(cobranza!$B$3:$B$1000,$A292,cobranza!$D$3:$D$1000),"↑"))</f>
        <v/>
      </c>
      <c r="Q292" s="15" t="str">
        <f aca="false">IF($A292="","",IF(COUNTIF($A$3:$A292,$A292)=1,SUMIFS($H$3:$H$1000,$A$3:$A$1000,$A292,$C$3:$C$1000,"&lt;&gt;Demo")-P292,"↑"))</f>
        <v/>
      </c>
      <c r="R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5" t="n">
        <f aca="false">IFERROR(H293-G293,"")</f>
        <v>0</v>
      </c>
      <c r="O293" s="16" t="str">
        <f aca="false">IFERROR(N293/H293,"")</f>
        <v/>
      </c>
      <c r="P293" s="15" t="str">
        <f aca="false">IF($A293="","",IF(COUNTIF($A$3:$A293,$A293)=1,SUMIF(cobranza!$B$3:$B$1000,$A293,cobranza!$D$3:$D$1000),"↑"))</f>
        <v/>
      </c>
      <c r="Q293" s="15" t="str">
        <f aca="false">IF($A293="","",IF(COUNTIF($A$3:$A293,$A293)=1,SUMIFS($H$3:$H$1000,$A$3:$A$1000,$A293,$C$3:$C$1000,"&lt;&gt;Demo")-P293,"↑"))</f>
        <v/>
      </c>
      <c r="R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5" t="n">
        <f aca="false">IFERROR(H294-G294,"")</f>
        <v>0</v>
      </c>
      <c r="O294" s="16" t="str">
        <f aca="false">IFERROR(N294/H294,"")</f>
        <v/>
      </c>
      <c r="P294" s="15" t="str">
        <f aca="false">IF($A294="","",IF(COUNTIF($A$3:$A294,$A294)=1,SUMIF(cobranza!$B$3:$B$1000,$A294,cobranza!$D$3:$D$1000),"↑"))</f>
        <v/>
      </c>
      <c r="Q294" s="15" t="str">
        <f aca="false">IF($A294="","",IF(COUNTIF($A$3:$A294,$A294)=1,SUMIFS($H$3:$H$1000,$A$3:$A$1000,$A294,$C$3:$C$1000,"&lt;&gt;Demo")-P294,"↑"))</f>
        <v/>
      </c>
      <c r="R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5" t="n">
        <f aca="false">IFERROR(H295-G295,"")</f>
        <v>0</v>
      </c>
      <c r="O295" s="16" t="str">
        <f aca="false">IFERROR(N295/H295,"")</f>
        <v/>
      </c>
      <c r="P295" s="15" t="str">
        <f aca="false">IF($A295="","",IF(COUNTIF($A$3:$A295,$A295)=1,SUMIF(cobranza!$B$3:$B$1000,$A295,cobranza!$D$3:$D$1000),"↑"))</f>
        <v/>
      </c>
      <c r="Q295" s="15" t="str">
        <f aca="false">IF($A295="","",IF(COUNTIF($A$3:$A295,$A295)=1,SUMIFS($H$3:$H$1000,$A$3:$A$1000,$A295,$C$3:$C$1000,"&lt;&gt;Demo")-P295,"↑"))</f>
        <v/>
      </c>
      <c r="R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5" t="n">
        <f aca="false">IFERROR(H296-G296,"")</f>
        <v>0</v>
      </c>
      <c r="O296" s="16" t="str">
        <f aca="false">IFERROR(N296/H296,"")</f>
        <v/>
      </c>
      <c r="P296" s="15" t="str">
        <f aca="false">IF($A296="","",IF(COUNTIF($A$3:$A296,$A296)=1,SUMIF(cobranza!$B$3:$B$1000,$A296,cobranza!$D$3:$D$1000),"↑"))</f>
        <v/>
      </c>
      <c r="Q296" s="15" t="str">
        <f aca="false">IF($A296="","",IF(COUNTIF($A$3:$A296,$A296)=1,SUMIFS($H$3:$H$1000,$A$3:$A$1000,$A296,$C$3:$C$1000,"&lt;&gt;Demo")-P296,"↑"))</f>
        <v/>
      </c>
      <c r="R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5" t="n">
        <f aca="false">IFERROR(H297-G297,"")</f>
        <v>0</v>
      </c>
      <c r="O297" s="16" t="str">
        <f aca="false">IFERROR(N297/H297,"")</f>
        <v/>
      </c>
      <c r="P297" s="15" t="str">
        <f aca="false">IF($A297="","",IF(COUNTIF($A$3:$A297,$A297)=1,SUMIF(cobranza!$B$3:$B$1000,$A297,cobranza!$D$3:$D$1000),"↑"))</f>
        <v/>
      </c>
      <c r="Q297" s="15" t="str">
        <f aca="false">IF($A297="","",IF(COUNTIF($A$3:$A297,$A297)=1,SUMIFS($H$3:$H$1000,$A$3:$A$1000,$A297,$C$3:$C$1000,"&lt;&gt;Demo")-P297,"↑"))</f>
        <v/>
      </c>
      <c r="R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5" t="n">
        <f aca="false">IFERROR(H298-G298,"")</f>
        <v>0</v>
      </c>
      <c r="O298" s="16" t="str">
        <f aca="false">IFERROR(N298/H298,"")</f>
        <v/>
      </c>
      <c r="P298" s="15" t="str">
        <f aca="false">IF($A298="","",IF(COUNTIF($A$3:$A298,$A298)=1,SUMIF(cobranza!$B$3:$B$1000,$A298,cobranza!$D$3:$D$1000),"↑"))</f>
        <v/>
      </c>
      <c r="Q298" s="15" t="str">
        <f aca="false">IF($A298="","",IF(COUNTIF($A$3:$A298,$A298)=1,SUMIFS($H$3:$H$1000,$A$3:$A$1000,$A298,$C$3:$C$1000,"&lt;&gt;Demo")-P298,"↑"))</f>
        <v/>
      </c>
      <c r="R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5" t="n">
        <f aca="false">IFERROR(H299-G299,"")</f>
        <v>0</v>
      </c>
      <c r="O299" s="16" t="str">
        <f aca="false">IFERROR(N299/H299,"")</f>
        <v/>
      </c>
      <c r="P299" s="15" t="str">
        <f aca="false">IF($A299="","",IF(COUNTIF($A$3:$A299,$A299)=1,SUMIF(cobranza!$B$3:$B$1000,$A299,cobranza!$D$3:$D$1000),"↑"))</f>
        <v/>
      </c>
      <c r="Q299" s="15" t="str">
        <f aca="false">IF($A299="","",IF(COUNTIF($A$3:$A299,$A299)=1,SUMIFS($H$3:$H$1000,$A$3:$A$1000,$A299,$C$3:$C$1000,"&lt;&gt;Demo")-P299,"↑"))</f>
        <v/>
      </c>
      <c r="R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5" t="n">
        <f aca="false">IFERROR(H300-G300,"")</f>
        <v>0</v>
      </c>
      <c r="O300" s="16" t="str">
        <f aca="false">IFERROR(N300/H300,"")</f>
        <v/>
      </c>
      <c r="P300" s="15" t="str">
        <f aca="false">IF($A300="","",IF(COUNTIF($A$3:$A300,$A300)=1,SUMIF(cobranza!$B$3:$B$1000,$A300,cobranza!$D$3:$D$1000),"↑"))</f>
        <v/>
      </c>
      <c r="Q300" s="15" t="str">
        <f aca="false">IF($A300="","",IF(COUNTIF($A$3:$A300,$A300)=1,SUMIFS($H$3:$H$1000,$A$3:$A$1000,$A300,$C$3:$C$1000,"&lt;&gt;Demo")-P300,"↑"))</f>
        <v/>
      </c>
      <c r="R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5" t="n">
        <f aca="false">IFERROR(H301-G301,"")</f>
        <v>0</v>
      </c>
      <c r="O301" s="16" t="str">
        <f aca="false">IFERROR(N301/H301,"")</f>
        <v/>
      </c>
      <c r="P301" s="15" t="str">
        <f aca="false">IF($A301="","",IF(COUNTIF($A$3:$A301,$A301)=1,SUMIF(cobranza!$B$3:$B$1000,$A301,cobranza!$D$3:$D$1000),"↑"))</f>
        <v/>
      </c>
      <c r="Q301" s="15" t="str">
        <f aca="false">IF($A301="","",IF(COUNTIF($A$3:$A301,$A301)=1,SUMIFS($H$3:$H$1000,$A$3:$A$1000,$A301,$C$3:$C$1000,"&lt;&gt;Demo")-P301,"↑"))</f>
        <v/>
      </c>
      <c r="R30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32"/>
    <col collapsed="false" customWidth="true" hidden="false" outlineLevel="0" max="7" min="7" style="0" width="40"/>
  </cols>
  <sheetData>
    <row r="1" customFormat="false" ht="30" hidden="false" customHeight="true" outlineLevel="0" collapsed="false">
      <c r="A1" s="6" t="s">
        <v>119</v>
      </c>
      <c r="B1" s="6" t="s">
        <v>120</v>
      </c>
      <c r="C1" s="6" t="s">
        <v>121</v>
      </c>
      <c r="D1" s="6" t="s">
        <v>122</v>
      </c>
      <c r="E1" s="6" t="s">
        <v>123</v>
      </c>
      <c r="F1" s="6" t="s">
        <v>124</v>
      </c>
      <c r="G1" s="6" t="s">
        <v>29</v>
      </c>
    </row>
    <row r="2" customFormat="false" ht="15" hidden="false" customHeight="false" outlineLevel="0" collapsed="false">
      <c r="A2" s="7" t="s">
        <v>125</v>
      </c>
      <c r="B2" s="7" t="s">
        <v>30</v>
      </c>
      <c r="C2" s="7" t="s">
        <v>126</v>
      </c>
      <c r="D2" s="7" t="n">
        <v>100000</v>
      </c>
      <c r="E2" s="7" t="s">
        <v>127</v>
      </c>
      <c r="F2" s="7" t="s">
        <v>33</v>
      </c>
      <c r="G2" s="19"/>
    </row>
    <row r="3" customFormat="false" ht="15" hidden="false" customHeight="false" outlineLevel="0" collapsed="false">
      <c r="A3" s="11" t="s">
        <v>128</v>
      </c>
      <c r="B3" s="11" t="s">
        <v>39</v>
      </c>
      <c r="C3" s="12" t="n">
        <v>46036</v>
      </c>
      <c r="D3" s="13" t="n">
        <v>120000</v>
      </c>
      <c r="E3" s="11" t="s">
        <v>127</v>
      </c>
      <c r="F3" s="11" t="s">
        <v>40</v>
      </c>
      <c r="G3" s="11"/>
    </row>
    <row r="4" customFormat="false" ht="15" hidden="false" customHeight="false" outlineLevel="0" collapsed="false">
      <c r="A4" s="11" t="s">
        <v>129</v>
      </c>
      <c r="B4" s="11" t="s">
        <v>39</v>
      </c>
      <c r="C4" s="12" t="n">
        <v>46083</v>
      </c>
      <c r="D4" s="13" t="n">
        <v>80000</v>
      </c>
      <c r="E4" s="11" t="s">
        <v>127</v>
      </c>
      <c r="F4" s="11" t="s">
        <v>40</v>
      </c>
      <c r="G4" s="11"/>
    </row>
    <row r="5" customFormat="false" ht="15" hidden="false" customHeight="false" outlineLevel="0" collapsed="false">
      <c r="A5" s="11" t="s">
        <v>130</v>
      </c>
      <c r="B5" s="11" t="s">
        <v>44</v>
      </c>
      <c r="C5" s="12" t="n">
        <v>46063</v>
      </c>
      <c r="D5" s="13" t="n">
        <v>90000</v>
      </c>
      <c r="E5" s="11" t="s">
        <v>131</v>
      </c>
      <c r="F5" s="11" t="s">
        <v>45</v>
      </c>
      <c r="G5" s="11"/>
    </row>
    <row r="6" customFormat="false" ht="15" hidden="false" customHeight="false" outlineLevel="0" collapsed="false">
      <c r="A6" s="11" t="s">
        <v>132</v>
      </c>
      <c r="B6" s="11" t="s">
        <v>49</v>
      </c>
      <c r="C6" s="12" t="n">
        <v>46062</v>
      </c>
      <c r="D6" s="13" t="n">
        <v>150000</v>
      </c>
      <c r="E6" s="11" t="s">
        <v>127</v>
      </c>
      <c r="F6" s="11" t="s">
        <v>50</v>
      </c>
      <c r="G6" s="11"/>
    </row>
    <row r="7" customFormat="false" ht="15" hidden="false" customHeight="false" outlineLevel="0" collapsed="false">
      <c r="A7" s="11" t="s">
        <v>133</v>
      </c>
      <c r="B7" s="11" t="s">
        <v>49</v>
      </c>
      <c r="C7" s="12" t="n">
        <v>46127</v>
      </c>
      <c r="D7" s="13" t="n">
        <v>60000</v>
      </c>
      <c r="E7" s="11" t="s">
        <v>134</v>
      </c>
      <c r="F7" s="11" t="s">
        <v>50</v>
      </c>
      <c r="G7" s="11"/>
    </row>
    <row r="8" customFormat="false" ht="15" hidden="false" customHeight="false" outlineLevel="0" collapsed="false">
      <c r="A8" s="11" t="s">
        <v>135</v>
      </c>
      <c r="B8" s="11" t="s">
        <v>53</v>
      </c>
      <c r="C8" s="12" t="n">
        <v>46062</v>
      </c>
      <c r="D8" s="13" t="n">
        <v>42000</v>
      </c>
      <c r="E8" s="11" t="s">
        <v>127</v>
      </c>
      <c r="F8" s="11" t="s">
        <v>55</v>
      </c>
      <c r="G8" s="11"/>
    </row>
    <row r="9" customFormat="false" ht="15" hidden="false" customHeight="false" outlineLevel="0" collapsed="false">
      <c r="A9" s="11" t="s">
        <v>136</v>
      </c>
      <c r="B9" s="11" t="s">
        <v>59</v>
      </c>
      <c r="C9" s="12" t="n">
        <v>46073</v>
      </c>
      <c r="D9" s="13" t="n">
        <v>178000</v>
      </c>
      <c r="E9" s="11" t="s">
        <v>127</v>
      </c>
      <c r="F9" s="11" t="s">
        <v>60</v>
      </c>
      <c r="G9" s="11"/>
    </row>
    <row r="10" customFormat="false" ht="15" hidden="false" customHeight="false" outlineLevel="0" collapsed="false">
      <c r="A10" s="11" t="s">
        <v>137</v>
      </c>
      <c r="B10" s="11" t="s">
        <v>63</v>
      </c>
      <c r="C10" s="12" t="n">
        <v>46084</v>
      </c>
      <c r="D10" s="13" t="n">
        <v>295000</v>
      </c>
      <c r="E10" s="11" t="s">
        <v>127</v>
      </c>
      <c r="F10" s="11" t="s">
        <v>65</v>
      </c>
      <c r="G10" s="11"/>
    </row>
    <row r="11" customFormat="false" ht="15" hidden="false" customHeight="false" outlineLevel="0" collapsed="false">
      <c r="A11" s="11" t="s">
        <v>138</v>
      </c>
      <c r="B11" s="11" t="s">
        <v>68</v>
      </c>
      <c r="C11" s="12" t="n">
        <v>46099</v>
      </c>
      <c r="D11" s="13" t="n">
        <v>200000</v>
      </c>
      <c r="E11" s="11" t="s">
        <v>127</v>
      </c>
      <c r="F11" s="11" t="s">
        <v>69</v>
      </c>
      <c r="G11" s="11"/>
    </row>
    <row r="12" customFormat="false" ht="15" hidden="false" customHeight="false" outlineLevel="0" collapsed="false">
      <c r="A12" s="11" t="s">
        <v>139</v>
      </c>
      <c r="B12" s="11" t="s">
        <v>68</v>
      </c>
      <c r="C12" s="12" t="n">
        <v>46178</v>
      </c>
      <c r="D12" s="13" t="n">
        <v>95000</v>
      </c>
      <c r="E12" s="11" t="s">
        <v>127</v>
      </c>
      <c r="F12" s="11" t="s">
        <v>69</v>
      </c>
      <c r="G12" s="11"/>
    </row>
    <row r="13" customFormat="false" ht="15" hidden="false" customHeight="false" outlineLevel="0" collapsed="false">
      <c r="A13" s="11" t="s">
        <v>140</v>
      </c>
      <c r="B13" s="11" t="s">
        <v>71</v>
      </c>
      <c r="C13" s="12" t="n">
        <v>46119</v>
      </c>
      <c r="D13" s="13" t="n">
        <v>100000</v>
      </c>
      <c r="E13" s="11" t="s">
        <v>127</v>
      </c>
      <c r="F13" s="11" t="s">
        <v>72</v>
      </c>
      <c r="G13" s="11"/>
    </row>
    <row r="14" customFormat="false" ht="15" hidden="false" customHeight="false" outlineLevel="0" collapsed="false">
      <c r="A14" s="11" t="s">
        <v>141</v>
      </c>
      <c r="B14" s="11" t="s">
        <v>71</v>
      </c>
      <c r="C14" s="12" t="n">
        <v>46119</v>
      </c>
      <c r="D14" s="13" t="n">
        <v>24000</v>
      </c>
      <c r="E14" s="11" t="s">
        <v>142</v>
      </c>
      <c r="F14" s="11" t="s">
        <v>72</v>
      </c>
      <c r="G14" s="11"/>
    </row>
    <row r="15" customFormat="false" ht="15" hidden="false" customHeight="false" outlineLevel="0" collapsed="false">
      <c r="A15" s="11" t="s">
        <v>143</v>
      </c>
      <c r="B15" s="11" t="s">
        <v>77</v>
      </c>
      <c r="C15" s="12" t="n">
        <v>46134</v>
      </c>
      <c r="D15" s="13" t="n">
        <v>32000</v>
      </c>
      <c r="E15" s="11" t="s">
        <v>127</v>
      </c>
      <c r="F15" s="11" t="s">
        <v>79</v>
      </c>
      <c r="G15" s="11"/>
    </row>
    <row r="16" customFormat="false" ht="15" hidden="false" customHeight="false" outlineLevel="0" collapsed="false">
      <c r="A16" s="11" t="s">
        <v>144</v>
      </c>
      <c r="B16" s="11" t="s">
        <v>81</v>
      </c>
      <c r="C16" s="12" t="n">
        <v>46153</v>
      </c>
      <c r="D16" s="13" t="n">
        <v>200000</v>
      </c>
      <c r="E16" s="11" t="s">
        <v>127</v>
      </c>
      <c r="F16" s="11" t="s">
        <v>82</v>
      </c>
      <c r="G16" s="11"/>
    </row>
    <row r="17" customFormat="false" ht="15" hidden="false" customHeight="false" outlineLevel="0" collapsed="false">
      <c r="A17" s="11" t="s">
        <v>145</v>
      </c>
      <c r="B17" s="11" t="s">
        <v>81</v>
      </c>
      <c r="C17" s="12" t="n">
        <v>46237</v>
      </c>
      <c r="D17" s="13" t="n">
        <v>90000</v>
      </c>
      <c r="E17" s="11" t="s">
        <v>131</v>
      </c>
      <c r="F17" s="11" t="s">
        <v>82</v>
      </c>
      <c r="G17" s="11"/>
    </row>
    <row r="18" customFormat="false" ht="15" hidden="false" customHeight="false" outlineLevel="0" collapsed="false">
      <c r="A18" s="11" t="s">
        <v>146</v>
      </c>
      <c r="B18" s="11" t="s">
        <v>84</v>
      </c>
      <c r="C18" s="12" t="n">
        <v>46168</v>
      </c>
      <c r="D18" s="13" t="n">
        <v>12000</v>
      </c>
      <c r="E18" s="11" t="s">
        <v>142</v>
      </c>
      <c r="F18" s="11" t="s">
        <v>69</v>
      </c>
      <c r="G18" s="11"/>
    </row>
    <row r="19" customFormat="false" ht="15" hidden="false" customHeight="false" outlineLevel="0" collapsed="false">
      <c r="A19" s="11" t="s">
        <v>147</v>
      </c>
      <c r="B19" s="11" t="s">
        <v>87</v>
      </c>
      <c r="C19" s="12" t="n">
        <v>46177</v>
      </c>
      <c r="D19" s="13" t="n">
        <v>60000</v>
      </c>
      <c r="E19" s="11" t="s">
        <v>127</v>
      </c>
      <c r="F19" s="11" t="s">
        <v>88</v>
      </c>
      <c r="G19" s="11"/>
    </row>
    <row r="20" customFormat="false" ht="15" hidden="false" customHeight="false" outlineLevel="0" collapsed="false">
      <c r="A20" s="11" t="s">
        <v>148</v>
      </c>
      <c r="B20" s="11" t="s">
        <v>90</v>
      </c>
      <c r="C20" s="12" t="n">
        <v>46192</v>
      </c>
      <c r="D20" s="13" t="n">
        <v>9800</v>
      </c>
      <c r="E20" s="11" t="s">
        <v>142</v>
      </c>
      <c r="F20" s="11" t="s">
        <v>45</v>
      </c>
      <c r="G20" s="11"/>
    </row>
    <row r="21" customFormat="false" ht="15" hidden="false" customHeight="false" outlineLevel="0" collapsed="false">
      <c r="A21" s="11" t="s">
        <v>149</v>
      </c>
      <c r="B21" s="11" t="s">
        <v>94</v>
      </c>
      <c r="C21" s="12" t="n">
        <v>46205</v>
      </c>
      <c r="D21" s="13" t="n">
        <v>300000</v>
      </c>
      <c r="E21" s="11" t="s">
        <v>127</v>
      </c>
      <c r="F21" s="11" t="s">
        <v>95</v>
      </c>
      <c r="G21" s="11"/>
    </row>
    <row r="22" customFormat="false" ht="15" hidden="false" customHeight="false" outlineLevel="0" collapsed="false">
      <c r="A22" s="11" t="s">
        <v>150</v>
      </c>
      <c r="B22" s="11" t="s">
        <v>94</v>
      </c>
      <c r="C22" s="12" t="n">
        <v>46262</v>
      </c>
      <c r="D22" s="13" t="n">
        <v>120000</v>
      </c>
      <c r="E22" s="11" t="s">
        <v>127</v>
      </c>
      <c r="F22" s="11" t="s">
        <v>95</v>
      </c>
      <c r="G22" s="11"/>
    </row>
    <row r="23" customFormat="false" ht="15" hidden="false" customHeight="false" outlineLevel="0" collapsed="false">
      <c r="A23" s="11" t="s">
        <v>151</v>
      </c>
      <c r="B23" s="11" t="s">
        <v>94</v>
      </c>
      <c r="C23" s="12" t="n">
        <v>46205</v>
      </c>
      <c r="D23" s="13" t="n">
        <v>11500</v>
      </c>
      <c r="E23" s="11" t="s">
        <v>142</v>
      </c>
      <c r="F23" s="11" t="s">
        <v>95</v>
      </c>
      <c r="G23" s="11"/>
    </row>
    <row r="24" customFormat="false" ht="15" hidden="false" customHeight="false" outlineLevel="0" collapsed="false">
      <c r="A24" s="11" t="s">
        <v>152</v>
      </c>
      <c r="B24" s="11" t="s">
        <v>100</v>
      </c>
      <c r="C24" s="12" t="n">
        <v>46218</v>
      </c>
      <c r="D24" s="13" t="n">
        <v>150000</v>
      </c>
      <c r="E24" s="11" t="s">
        <v>127</v>
      </c>
      <c r="F24" s="11" t="s">
        <v>40</v>
      </c>
      <c r="G24" s="11"/>
    </row>
    <row r="25" customFormat="false" ht="15" hidden="false" customHeight="false" outlineLevel="0" collapsed="false">
      <c r="A25" s="11" t="s">
        <v>153</v>
      </c>
      <c r="B25" s="11" t="s">
        <v>102</v>
      </c>
      <c r="C25" s="12" t="n">
        <v>46224</v>
      </c>
      <c r="D25" s="13" t="n">
        <v>6100</v>
      </c>
      <c r="E25" s="11" t="s">
        <v>142</v>
      </c>
      <c r="F25" s="11" t="s">
        <v>40</v>
      </c>
      <c r="G25" s="11" t="s">
        <v>154</v>
      </c>
    </row>
    <row r="26" customFormat="false" ht="15" hidden="false" customHeight="false" outlineLevel="0" collapsed="false">
      <c r="A26" s="11" t="s">
        <v>155</v>
      </c>
      <c r="B26" s="11" t="s">
        <v>105</v>
      </c>
      <c r="C26" s="12" t="n">
        <v>46232</v>
      </c>
      <c r="D26" s="13" t="n">
        <v>180000</v>
      </c>
      <c r="E26" s="11" t="s">
        <v>127</v>
      </c>
      <c r="F26" s="11" t="s">
        <v>60</v>
      </c>
      <c r="G26" s="11"/>
    </row>
    <row r="27" customFormat="false" ht="15" hidden="false" customHeight="false" outlineLevel="0" collapsed="false">
      <c r="A27" s="11" t="s">
        <v>156</v>
      </c>
      <c r="B27" s="11" t="s">
        <v>107</v>
      </c>
      <c r="C27" s="12" t="n">
        <v>46240</v>
      </c>
      <c r="D27" s="13" t="n">
        <v>32000</v>
      </c>
      <c r="E27" s="11" t="s">
        <v>127</v>
      </c>
      <c r="F27" s="11" t="s">
        <v>88</v>
      </c>
      <c r="G27" s="11"/>
    </row>
    <row r="28" customFormat="false" ht="15" hidden="false" customHeight="false" outlineLevel="0" collapsed="false">
      <c r="A28" s="11" t="s">
        <v>157</v>
      </c>
      <c r="B28" s="11" t="s">
        <v>108</v>
      </c>
      <c r="C28" s="12" t="n">
        <v>46247</v>
      </c>
      <c r="D28" s="13" t="n">
        <v>80000</v>
      </c>
      <c r="E28" s="11" t="s">
        <v>127</v>
      </c>
      <c r="F28" s="11" t="s">
        <v>79</v>
      </c>
      <c r="G28" s="11"/>
    </row>
    <row r="29" customFormat="false" ht="15" hidden="false" customHeight="false" outlineLevel="0" collapsed="false">
      <c r="A29" s="11" t="s">
        <v>158</v>
      </c>
      <c r="B29" s="11" t="s">
        <v>110</v>
      </c>
      <c r="C29" s="12" t="n">
        <v>46258</v>
      </c>
      <c r="D29" s="13" t="n">
        <v>3600</v>
      </c>
      <c r="E29" s="11" t="s">
        <v>142</v>
      </c>
      <c r="F29" s="11" t="s">
        <v>69</v>
      </c>
      <c r="G29" s="11"/>
    </row>
    <row r="30" customFormat="false" ht="15" hidden="false" customHeight="false" outlineLevel="0" collapsed="false">
      <c r="A30" s="11" t="s">
        <v>159</v>
      </c>
      <c r="B30" s="11" t="s">
        <v>113</v>
      </c>
      <c r="C30" s="12" t="n">
        <v>46266</v>
      </c>
      <c r="D30" s="13" t="n">
        <v>100000</v>
      </c>
      <c r="E30" s="11" t="s">
        <v>127</v>
      </c>
      <c r="F30" s="11" t="s">
        <v>82</v>
      </c>
      <c r="G30" s="11"/>
    </row>
    <row r="31" customFormat="false" ht="15" hidden="false" customHeight="false" outlineLevel="0" collapsed="false">
      <c r="A31" s="11" t="s">
        <v>160</v>
      </c>
      <c r="B31" s="11" t="s">
        <v>115</v>
      </c>
      <c r="C31" s="12" t="n">
        <v>46270</v>
      </c>
      <c r="D31" s="13" t="n">
        <v>11500</v>
      </c>
      <c r="E31" s="11" t="s">
        <v>142</v>
      </c>
      <c r="F31" s="11" t="s">
        <v>95</v>
      </c>
      <c r="G31" s="11"/>
    </row>
    <row r="32" customFormat="false" ht="15" hidden="false" customHeight="false" outlineLevel="0" collapsed="false">
      <c r="A32" s="11" t="s">
        <v>161</v>
      </c>
      <c r="B32" s="11" t="s">
        <v>117</v>
      </c>
      <c r="C32" s="12" t="n">
        <v>46264</v>
      </c>
      <c r="D32" s="13" t="n">
        <v>3600</v>
      </c>
      <c r="E32" s="11" t="s">
        <v>142</v>
      </c>
      <c r="F32" s="11" t="s">
        <v>72</v>
      </c>
      <c r="G32" s="11"/>
    </row>
    <row r="33" customFormat="false" ht="15" hidden="false" customHeight="false" outlineLevel="0" collapsed="false">
      <c r="A33" s="17"/>
      <c r="B33" s="17"/>
      <c r="C33" s="20"/>
      <c r="D33" s="21"/>
      <c r="E33" s="17"/>
      <c r="F33" s="17"/>
      <c r="G33" s="17"/>
    </row>
    <row r="34" customFormat="false" ht="15" hidden="false" customHeight="false" outlineLevel="0" collapsed="false">
      <c r="A34" s="17"/>
      <c r="B34" s="17"/>
      <c r="C34" s="20"/>
      <c r="D34" s="21"/>
      <c r="E34" s="17"/>
      <c r="F34" s="17"/>
      <c r="G34" s="17"/>
    </row>
    <row r="35" customFormat="false" ht="15" hidden="false" customHeight="false" outlineLevel="0" collapsed="false">
      <c r="A35" s="17"/>
      <c r="B35" s="17"/>
      <c r="C35" s="20"/>
      <c r="D35" s="21"/>
      <c r="E35" s="17"/>
      <c r="F35" s="17"/>
      <c r="G35" s="17"/>
    </row>
    <row r="36" customFormat="false" ht="15" hidden="false" customHeight="false" outlineLevel="0" collapsed="false">
      <c r="A36" s="17"/>
      <c r="B36" s="17"/>
      <c r="C36" s="20"/>
      <c r="D36" s="21"/>
      <c r="E36" s="17"/>
      <c r="F36" s="17"/>
      <c r="G36" s="17"/>
    </row>
    <row r="37" customFormat="false" ht="15" hidden="false" customHeight="false" outlineLevel="0" collapsed="false">
      <c r="A37" s="17"/>
      <c r="B37" s="17"/>
      <c r="C37" s="20"/>
      <c r="D37" s="21"/>
      <c r="E37" s="17"/>
      <c r="F37" s="17"/>
      <c r="G37" s="17"/>
    </row>
    <row r="38" customFormat="false" ht="15" hidden="false" customHeight="false" outlineLevel="0" collapsed="false">
      <c r="A38" s="17"/>
      <c r="B38" s="17"/>
      <c r="C38" s="20"/>
      <c r="D38" s="21"/>
      <c r="E38" s="17"/>
      <c r="F38" s="17"/>
      <c r="G38" s="17"/>
    </row>
    <row r="39" customFormat="false" ht="15" hidden="false" customHeight="false" outlineLevel="0" collapsed="false">
      <c r="A39" s="17"/>
      <c r="B39" s="17"/>
      <c r="C39" s="20"/>
      <c r="D39" s="21"/>
      <c r="E39" s="17"/>
      <c r="F39" s="17"/>
      <c r="G39" s="17"/>
    </row>
    <row r="40" customFormat="false" ht="15" hidden="false" customHeight="false" outlineLevel="0" collapsed="false">
      <c r="A40" s="17"/>
      <c r="B40" s="17"/>
      <c r="C40" s="20"/>
      <c r="D40" s="21"/>
      <c r="E40" s="17"/>
      <c r="F40" s="17"/>
      <c r="G40" s="17"/>
    </row>
    <row r="41" customFormat="false" ht="15" hidden="false" customHeight="false" outlineLevel="0" collapsed="false">
      <c r="A41" s="17"/>
      <c r="B41" s="17"/>
      <c r="C41" s="20"/>
      <c r="D41" s="21"/>
      <c r="E41" s="17"/>
      <c r="F41" s="17"/>
      <c r="G41" s="17"/>
    </row>
    <row r="42" customFormat="false" ht="15" hidden="false" customHeight="false" outlineLevel="0" collapsed="false">
      <c r="A42" s="17"/>
      <c r="B42" s="17"/>
      <c r="C42" s="20"/>
      <c r="D42" s="21"/>
      <c r="E42" s="17"/>
      <c r="F42" s="17"/>
      <c r="G42" s="17"/>
    </row>
    <row r="43" customFormat="false" ht="15" hidden="false" customHeight="false" outlineLevel="0" collapsed="false">
      <c r="A43" s="17"/>
      <c r="B43" s="17"/>
      <c r="C43" s="20"/>
      <c r="D43" s="21"/>
      <c r="E43" s="17"/>
      <c r="F43" s="17"/>
      <c r="G43" s="17"/>
    </row>
    <row r="44" customFormat="false" ht="15" hidden="false" customHeight="false" outlineLevel="0" collapsed="false">
      <c r="A44" s="17"/>
      <c r="B44" s="17"/>
      <c r="C44" s="20"/>
      <c r="D44" s="21"/>
      <c r="E44" s="17"/>
      <c r="F44" s="17"/>
      <c r="G44" s="17"/>
    </row>
    <row r="45" customFormat="false" ht="15" hidden="false" customHeight="false" outlineLevel="0" collapsed="false">
      <c r="A45" s="17"/>
      <c r="B45" s="17"/>
      <c r="C45" s="20"/>
      <c r="D45" s="21"/>
      <c r="E45" s="17"/>
      <c r="F45" s="17"/>
      <c r="G45" s="17"/>
    </row>
    <row r="46" customFormat="false" ht="15" hidden="false" customHeight="false" outlineLevel="0" collapsed="false">
      <c r="A46" s="17"/>
      <c r="B46" s="17"/>
      <c r="C46" s="20"/>
      <c r="D46" s="21"/>
      <c r="E46" s="17"/>
      <c r="F46" s="17"/>
      <c r="G46" s="17"/>
    </row>
    <row r="47" customFormat="false" ht="15" hidden="false" customHeight="false" outlineLevel="0" collapsed="false">
      <c r="A47" s="17"/>
      <c r="B47" s="17"/>
      <c r="C47" s="20"/>
      <c r="D47" s="21"/>
      <c r="E47" s="17"/>
      <c r="F47" s="17"/>
      <c r="G47" s="17"/>
    </row>
    <row r="48" customFormat="false" ht="15" hidden="false" customHeight="false" outlineLevel="0" collapsed="false">
      <c r="A48" s="17"/>
      <c r="B48" s="17"/>
      <c r="C48" s="20"/>
      <c r="D48" s="21"/>
      <c r="E48" s="17"/>
      <c r="F48" s="17"/>
      <c r="G48" s="17"/>
    </row>
    <row r="49" customFormat="false" ht="15" hidden="false" customHeight="false" outlineLevel="0" collapsed="false">
      <c r="A49" s="17"/>
      <c r="B49" s="17"/>
      <c r="C49" s="20"/>
      <c r="D49" s="21"/>
      <c r="E49" s="17"/>
      <c r="F49" s="17"/>
      <c r="G49" s="17"/>
    </row>
    <row r="50" customFormat="false" ht="15" hidden="false" customHeight="false" outlineLevel="0" collapsed="false">
      <c r="A50" s="17"/>
      <c r="B50" s="17"/>
      <c r="C50" s="20"/>
      <c r="D50" s="21"/>
      <c r="E50" s="17"/>
      <c r="F50" s="17"/>
      <c r="G50" s="17"/>
    </row>
    <row r="51" customFormat="false" ht="15" hidden="false" customHeight="false" outlineLevel="0" collapsed="false">
      <c r="A51" s="17"/>
      <c r="B51" s="17"/>
      <c r="C51" s="20"/>
      <c r="D51" s="21"/>
      <c r="E51" s="17"/>
      <c r="F51" s="17"/>
      <c r="G51" s="17"/>
    </row>
    <row r="52" customFormat="false" ht="15" hidden="false" customHeight="false" outlineLevel="0" collapsed="false">
      <c r="A52" s="17"/>
      <c r="B52" s="17"/>
      <c r="C52" s="20"/>
      <c r="D52" s="21"/>
      <c r="E52" s="17"/>
      <c r="F52" s="17"/>
      <c r="G52" s="17"/>
    </row>
    <row r="53" customFormat="false" ht="15" hidden="false" customHeight="false" outlineLevel="0" collapsed="false">
      <c r="A53" s="17"/>
      <c r="B53" s="17"/>
      <c r="C53" s="20"/>
      <c r="D53" s="21"/>
      <c r="E53" s="17"/>
      <c r="F53" s="17"/>
      <c r="G53" s="17"/>
    </row>
    <row r="54" customFormat="false" ht="15" hidden="false" customHeight="false" outlineLevel="0" collapsed="false">
      <c r="A54" s="17"/>
      <c r="B54" s="17"/>
      <c r="C54" s="20"/>
      <c r="D54" s="21"/>
      <c r="E54" s="17"/>
      <c r="F54" s="17"/>
      <c r="G54" s="17"/>
    </row>
    <row r="55" customFormat="false" ht="15" hidden="false" customHeight="false" outlineLevel="0" collapsed="false">
      <c r="A55" s="17"/>
      <c r="B55" s="17"/>
      <c r="C55" s="20"/>
      <c r="D55" s="21"/>
      <c r="E55" s="17"/>
      <c r="F55" s="17"/>
      <c r="G55" s="17"/>
    </row>
    <row r="56" customFormat="false" ht="15" hidden="false" customHeight="false" outlineLevel="0" collapsed="false">
      <c r="A56" s="17"/>
      <c r="B56" s="17"/>
      <c r="C56" s="20"/>
      <c r="D56" s="21"/>
      <c r="E56" s="17"/>
      <c r="F56" s="17"/>
      <c r="G56" s="17"/>
    </row>
    <row r="57" customFormat="false" ht="15" hidden="false" customHeight="false" outlineLevel="0" collapsed="false">
      <c r="A57" s="17"/>
      <c r="B57" s="17"/>
      <c r="C57" s="20"/>
      <c r="D57" s="21"/>
      <c r="E57" s="17"/>
      <c r="F57" s="17"/>
      <c r="G57" s="17"/>
    </row>
    <row r="58" customFormat="false" ht="15" hidden="false" customHeight="false" outlineLevel="0" collapsed="false">
      <c r="A58" s="17"/>
      <c r="B58" s="17"/>
      <c r="C58" s="20"/>
      <c r="D58" s="21"/>
      <c r="E58" s="17"/>
      <c r="F58" s="17"/>
      <c r="G58" s="17"/>
    </row>
    <row r="59" customFormat="false" ht="15" hidden="false" customHeight="false" outlineLevel="0" collapsed="false">
      <c r="A59" s="17"/>
      <c r="B59" s="17"/>
      <c r="C59" s="20"/>
      <c r="D59" s="21"/>
      <c r="E59" s="17"/>
      <c r="F59" s="17"/>
      <c r="G59" s="17"/>
    </row>
    <row r="60" customFormat="false" ht="15" hidden="false" customHeight="false" outlineLevel="0" collapsed="false">
      <c r="A60" s="17"/>
      <c r="B60" s="17"/>
      <c r="C60" s="20"/>
      <c r="D60" s="21"/>
      <c r="E60" s="17"/>
      <c r="F60" s="17"/>
      <c r="G60" s="17"/>
    </row>
    <row r="61" customFormat="false" ht="15" hidden="false" customHeight="false" outlineLevel="0" collapsed="false">
      <c r="A61" s="17"/>
      <c r="B61" s="17"/>
      <c r="C61" s="20"/>
      <c r="D61" s="21"/>
      <c r="E61" s="17"/>
      <c r="F61" s="17"/>
      <c r="G61" s="17"/>
    </row>
    <row r="62" customFormat="false" ht="15" hidden="false" customHeight="false" outlineLevel="0" collapsed="false">
      <c r="A62" s="17"/>
      <c r="B62" s="17"/>
      <c r="C62" s="20"/>
      <c r="D62" s="21"/>
      <c r="E62" s="17"/>
      <c r="F62" s="17"/>
      <c r="G62" s="17"/>
    </row>
    <row r="63" customFormat="false" ht="15" hidden="false" customHeight="false" outlineLevel="0" collapsed="false">
      <c r="A63" s="17"/>
      <c r="B63" s="17"/>
      <c r="C63" s="20"/>
      <c r="D63" s="21"/>
      <c r="E63" s="17"/>
      <c r="F63" s="17"/>
      <c r="G63" s="17"/>
    </row>
    <row r="64" customFormat="false" ht="15" hidden="false" customHeight="false" outlineLevel="0" collapsed="false">
      <c r="A64" s="17"/>
      <c r="B64" s="17"/>
      <c r="C64" s="20"/>
      <c r="D64" s="21"/>
      <c r="E64" s="17"/>
      <c r="F64" s="17"/>
      <c r="G64" s="17"/>
    </row>
    <row r="65" customFormat="false" ht="15" hidden="false" customHeight="false" outlineLevel="0" collapsed="false">
      <c r="A65" s="17"/>
      <c r="B65" s="17"/>
      <c r="C65" s="20"/>
      <c r="D65" s="21"/>
      <c r="E65" s="17"/>
      <c r="F65" s="17"/>
      <c r="G65" s="17"/>
    </row>
    <row r="66" customFormat="false" ht="15" hidden="false" customHeight="false" outlineLevel="0" collapsed="false">
      <c r="A66" s="17"/>
      <c r="B66" s="17"/>
      <c r="C66" s="20"/>
      <c r="D66" s="21"/>
      <c r="E66" s="17"/>
      <c r="F66" s="17"/>
      <c r="G66" s="17"/>
    </row>
    <row r="67" customFormat="false" ht="15" hidden="false" customHeight="false" outlineLevel="0" collapsed="false">
      <c r="A67" s="17"/>
      <c r="B67" s="17"/>
      <c r="C67" s="20"/>
      <c r="D67" s="21"/>
      <c r="E67" s="17"/>
      <c r="F67" s="17"/>
      <c r="G67" s="17"/>
    </row>
    <row r="68" customFormat="false" ht="15" hidden="false" customHeight="false" outlineLevel="0" collapsed="false">
      <c r="A68" s="17"/>
      <c r="B68" s="17"/>
      <c r="C68" s="20"/>
      <c r="D68" s="21"/>
      <c r="E68" s="17"/>
      <c r="F68" s="17"/>
      <c r="G68" s="17"/>
    </row>
    <row r="69" customFormat="false" ht="15" hidden="false" customHeight="false" outlineLevel="0" collapsed="false">
      <c r="A69" s="17"/>
      <c r="B69" s="17"/>
      <c r="C69" s="20"/>
      <c r="D69" s="21"/>
      <c r="E69" s="17"/>
      <c r="F69" s="17"/>
      <c r="G69" s="17"/>
    </row>
    <row r="70" customFormat="false" ht="15" hidden="false" customHeight="false" outlineLevel="0" collapsed="false">
      <c r="A70" s="17"/>
      <c r="B70" s="17"/>
      <c r="C70" s="20"/>
      <c r="D70" s="21"/>
      <c r="E70" s="17"/>
      <c r="F70" s="17"/>
      <c r="G70" s="17"/>
    </row>
    <row r="71" customFormat="false" ht="15" hidden="false" customHeight="false" outlineLevel="0" collapsed="false">
      <c r="A71" s="17"/>
      <c r="B71" s="17"/>
      <c r="C71" s="20"/>
      <c r="D71" s="21"/>
      <c r="E71" s="17"/>
      <c r="F71" s="17"/>
      <c r="G71" s="17"/>
    </row>
    <row r="72" customFormat="false" ht="15" hidden="false" customHeight="false" outlineLevel="0" collapsed="false">
      <c r="A72" s="17"/>
      <c r="B72" s="17"/>
      <c r="C72" s="20"/>
      <c r="D72" s="21"/>
      <c r="E72" s="17"/>
      <c r="F72" s="17"/>
      <c r="G72" s="17"/>
    </row>
    <row r="73" customFormat="false" ht="15" hidden="false" customHeight="false" outlineLevel="0" collapsed="false">
      <c r="A73" s="17"/>
      <c r="B73" s="17"/>
      <c r="C73" s="20"/>
      <c r="D73" s="21"/>
      <c r="E73" s="17"/>
      <c r="F73" s="17"/>
      <c r="G73" s="17"/>
    </row>
    <row r="74" customFormat="false" ht="15" hidden="false" customHeight="false" outlineLevel="0" collapsed="false">
      <c r="A74" s="17"/>
      <c r="B74" s="17"/>
      <c r="C74" s="20"/>
      <c r="D74" s="21"/>
      <c r="E74" s="17"/>
      <c r="F74" s="17"/>
      <c r="G74" s="17"/>
    </row>
    <row r="75" customFormat="false" ht="15" hidden="false" customHeight="false" outlineLevel="0" collapsed="false">
      <c r="A75" s="17"/>
      <c r="B75" s="17"/>
      <c r="C75" s="20"/>
      <c r="D75" s="21"/>
      <c r="E75" s="17"/>
      <c r="F75" s="17"/>
      <c r="G75" s="17"/>
    </row>
    <row r="76" customFormat="false" ht="15" hidden="false" customHeight="false" outlineLevel="0" collapsed="false">
      <c r="A76" s="17"/>
      <c r="B76" s="17"/>
      <c r="C76" s="20"/>
      <c r="D76" s="21"/>
      <c r="E76" s="17"/>
      <c r="F76" s="17"/>
      <c r="G76" s="17"/>
    </row>
    <row r="77" customFormat="false" ht="15" hidden="false" customHeight="false" outlineLevel="0" collapsed="false">
      <c r="A77" s="17"/>
      <c r="B77" s="17"/>
      <c r="C77" s="20"/>
      <c r="D77" s="21"/>
      <c r="E77" s="17"/>
      <c r="F77" s="17"/>
      <c r="G77" s="17"/>
    </row>
    <row r="78" customFormat="false" ht="15" hidden="false" customHeight="false" outlineLevel="0" collapsed="false">
      <c r="A78" s="17"/>
      <c r="B78" s="17"/>
      <c r="C78" s="20"/>
      <c r="D78" s="21"/>
      <c r="E78" s="17"/>
      <c r="F78" s="17"/>
      <c r="G78" s="17"/>
    </row>
    <row r="79" customFormat="false" ht="15" hidden="false" customHeight="false" outlineLevel="0" collapsed="false">
      <c r="A79" s="17"/>
      <c r="B79" s="17"/>
      <c r="C79" s="20"/>
      <c r="D79" s="21"/>
      <c r="E79" s="17"/>
      <c r="F79" s="17"/>
      <c r="G79" s="17"/>
    </row>
    <row r="80" customFormat="false" ht="15" hidden="false" customHeight="false" outlineLevel="0" collapsed="false">
      <c r="A80" s="17"/>
      <c r="B80" s="17"/>
      <c r="C80" s="20"/>
      <c r="D80" s="21"/>
      <c r="E80" s="17"/>
      <c r="F80" s="17"/>
      <c r="G80" s="17"/>
    </row>
    <row r="81" customFormat="false" ht="15" hidden="false" customHeight="false" outlineLevel="0" collapsed="false">
      <c r="A81" s="17"/>
      <c r="B81" s="17"/>
      <c r="C81" s="20"/>
      <c r="D81" s="21"/>
      <c r="E81" s="17"/>
      <c r="F81" s="17"/>
      <c r="G81" s="17"/>
    </row>
    <row r="82" customFormat="false" ht="15" hidden="false" customHeight="false" outlineLevel="0" collapsed="false">
      <c r="A82" s="17"/>
      <c r="B82" s="17"/>
      <c r="C82" s="20"/>
      <c r="D82" s="21"/>
      <c r="E82" s="17"/>
      <c r="F82" s="17"/>
      <c r="G82" s="17"/>
    </row>
    <row r="83" customFormat="false" ht="15" hidden="false" customHeight="false" outlineLevel="0" collapsed="false">
      <c r="A83" s="17"/>
      <c r="B83" s="17"/>
      <c r="C83" s="20"/>
      <c r="D83" s="21"/>
      <c r="E83" s="17"/>
      <c r="F83" s="17"/>
      <c r="G83" s="17"/>
    </row>
    <row r="84" customFormat="false" ht="15" hidden="false" customHeight="false" outlineLevel="0" collapsed="false">
      <c r="A84" s="17"/>
      <c r="B84" s="17"/>
      <c r="C84" s="20"/>
      <c r="D84" s="21"/>
      <c r="E84" s="17"/>
      <c r="F84" s="17"/>
      <c r="G84" s="17"/>
    </row>
    <row r="85" customFormat="false" ht="15" hidden="false" customHeight="false" outlineLevel="0" collapsed="false">
      <c r="A85" s="17"/>
      <c r="B85" s="17"/>
      <c r="C85" s="20"/>
      <c r="D85" s="21"/>
      <c r="E85" s="17"/>
      <c r="F85" s="17"/>
      <c r="G85" s="17"/>
    </row>
    <row r="86" customFormat="false" ht="15" hidden="false" customHeight="false" outlineLevel="0" collapsed="false">
      <c r="A86" s="17"/>
      <c r="B86" s="17"/>
      <c r="C86" s="20"/>
      <c r="D86" s="21"/>
      <c r="E86" s="17"/>
      <c r="F86" s="17"/>
      <c r="G86" s="17"/>
    </row>
    <row r="87" customFormat="false" ht="15" hidden="false" customHeight="false" outlineLevel="0" collapsed="false">
      <c r="A87" s="17"/>
      <c r="B87" s="17"/>
      <c r="C87" s="20"/>
      <c r="D87" s="21"/>
      <c r="E87" s="17"/>
      <c r="F87" s="17"/>
      <c r="G87" s="17"/>
    </row>
    <row r="88" customFormat="false" ht="15" hidden="false" customHeight="false" outlineLevel="0" collapsed="false">
      <c r="A88" s="17"/>
      <c r="B88" s="17"/>
      <c r="C88" s="20"/>
      <c r="D88" s="21"/>
      <c r="E88" s="17"/>
      <c r="F88" s="17"/>
      <c r="G88" s="17"/>
    </row>
    <row r="89" customFormat="false" ht="15" hidden="false" customHeight="false" outlineLevel="0" collapsed="false">
      <c r="A89" s="17"/>
      <c r="B89" s="17"/>
      <c r="C89" s="20"/>
      <c r="D89" s="21"/>
      <c r="E89" s="17"/>
      <c r="F89" s="17"/>
      <c r="G89" s="17"/>
    </row>
    <row r="90" customFormat="false" ht="15" hidden="false" customHeight="false" outlineLevel="0" collapsed="false">
      <c r="A90" s="17"/>
      <c r="B90" s="17"/>
      <c r="C90" s="20"/>
      <c r="D90" s="21"/>
      <c r="E90" s="17"/>
      <c r="F90" s="17"/>
      <c r="G90" s="17"/>
    </row>
    <row r="91" customFormat="false" ht="15" hidden="false" customHeight="false" outlineLevel="0" collapsed="false">
      <c r="A91" s="17"/>
      <c r="B91" s="17"/>
      <c r="C91" s="20"/>
      <c r="D91" s="21"/>
      <c r="E91" s="17"/>
      <c r="F91" s="17"/>
      <c r="G91" s="17"/>
    </row>
    <row r="92" customFormat="false" ht="15" hidden="false" customHeight="false" outlineLevel="0" collapsed="false">
      <c r="A92" s="17"/>
      <c r="B92" s="17"/>
      <c r="C92" s="20"/>
      <c r="D92" s="21"/>
      <c r="E92" s="17"/>
      <c r="F92" s="17"/>
      <c r="G92" s="17"/>
    </row>
    <row r="93" customFormat="false" ht="15" hidden="false" customHeight="false" outlineLevel="0" collapsed="false">
      <c r="A93" s="17"/>
      <c r="B93" s="17"/>
      <c r="C93" s="20"/>
      <c r="D93" s="21"/>
      <c r="E93" s="17"/>
      <c r="F93" s="17"/>
      <c r="G93" s="17"/>
    </row>
    <row r="94" customFormat="false" ht="15" hidden="false" customHeight="false" outlineLevel="0" collapsed="false">
      <c r="A94" s="17"/>
      <c r="B94" s="17"/>
      <c r="C94" s="20"/>
      <c r="D94" s="21"/>
      <c r="E94" s="17"/>
      <c r="F94" s="17"/>
      <c r="G94" s="17"/>
    </row>
    <row r="95" customFormat="false" ht="15" hidden="false" customHeight="false" outlineLevel="0" collapsed="false">
      <c r="A95" s="17"/>
      <c r="B95" s="17"/>
      <c r="C95" s="20"/>
      <c r="D95" s="21"/>
      <c r="E95" s="17"/>
      <c r="F95" s="17"/>
      <c r="G95" s="17"/>
    </row>
    <row r="96" customFormat="false" ht="15" hidden="false" customHeight="false" outlineLevel="0" collapsed="false">
      <c r="A96" s="17"/>
      <c r="B96" s="17"/>
      <c r="C96" s="20"/>
      <c r="D96" s="21"/>
      <c r="E96" s="17"/>
      <c r="F96" s="17"/>
      <c r="G96" s="17"/>
    </row>
    <row r="97" customFormat="false" ht="15" hidden="false" customHeight="false" outlineLevel="0" collapsed="false">
      <c r="A97" s="17"/>
      <c r="B97" s="17"/>
      <c r="C97" s="20"/>
      <c r="D97" s="21"/>
      <c r="E97" s="17"/>
      <c r="F97" s="17"/>
      <c r="G97" s="17"/>
    </row>
    <row r="98" customFormat="false" ht="15" hidden="false" customHeight="false" outlineLevel="0" collapsed="false">
      <c r="A98" s="17"/>
      <c r="B98" s="17"/>
      <c r="C98" s="20"/>
      <c r="D98" s="21"/>
      <c r="E98" s="17"/>
      <c r="F98" s="17"/>
      <c r="G98" s="17"/>
    </row>
    <row r="99" customFormat="false" ht="15" hidden="false" customHeight="false" outlineLevel="0" collapsed="false">
      <c r="A99" s="17"/>
      <c r="B99" s="17"/>
      <c r="C99" s="20"/>
      <c r="D99" s="21"/>
      <c r="E99" s="17"/>
      <c r="F99" s="17"/>
      <c r="G99" s="17"/>
    </row>
    <row r="100" customFormat="false" ht="15" hidden="false" customHeight="false" outlineLevel="0" collapsed="false">
      <c r="A100" s="17"/>
      <c r="B100" s="17"/>
      <c r="C100" s="20"/>
      <c r="D100" s="21"/>
      <c r="E100" s="17"/>
      <c r="F100" s="17"/>
      <c r="G100" s="17"/>
    </row>
    <row r="101" customFormat="false" ht="15" hidden="false" customHeight="false" outlineLevel="0" collapsed="false">
      <c r="A101" s="17"/>
      <c r="B101" s="17"/>
      <c r="C101" s="20"/>
      <c r="D101" s="21"/>
      <c r="E101" s="17"/>
      <c r="F101" s="17"/>
      <c r="G101" s="17"/>
    </row>
    <row r="102" customFormat="false" ht="15" hidden="false" customHeight="false" outlineLevel="0" collapsed="false">
      <c r="A102" s="17"/>
      <c r="B102" s="17"/>
      <c r="C102" s="20"/>
      <c r="D102" s="21"/>
      <c r="E102" s="17"/>
      <c r="F102" s="17"/>
      <c r="G102" s="17"/>
    </row>
    <row r="103" customFormat="false" ht="15" hidden="false" customHeight="false" outlineLevel="0" collapsed="false">
      <c r="A103" s="17"/>
      <c r="B103" s="17"/>
      <c r="C103" s="20"/>
      <c r="D103" s="21"/>
      <c r="E103" s="17"/>
      <c r="F103" s="17"/>
      <c r="G103" s="17"/>
    </row>
    <row r="104" customFormat="false" ht="15" hidden="false" customHeight="false" outlineLevel="0" collapsed="false">
      <c r="A104" s="17"/>
      <c r="B104" s="17"/>
      <c r="C104" s="20"/>
      <c r="D104" s="21"/>
      <c r="E104" s="17"/>
      <c r="F104" s="17"/>
      <c r="G104" s="17"/>
    </row>
    <row r="105" customFormat="false" ht="15" hidden="false" customHeight="false" outlineLevel="0" collapsed="false">
      <c r="A105" s="17"/>
      <c r="B105" s="17"/>
      <c r="C105" s="20"/>
      <c r="D105" s="21"/>
      <c r="E105" s="17"/>
      <c r="F105" s="17"/>
      <c r="G105" s="17"/>
    </row>
    <row r="106" customFormat="false" ht="15" hidden="false" customHeight="false" outlineLevel="0" collapsed="false">
      <c r="A106" s="17"/>
      <c r="B106" s="17"/>
      <c r="C106" s="20"/>
      <c r="D106" s="21"/>
      <c r="E106" s="17"/>
      <c r="F106" s="17"/>
      <c r="G106" s="17"/>
    </row>
    <row r="107" customFormat="false" ht="15" hidden="false" customHeight="false" outlineLevel="0" collapsed="false">
      <c r="A107" s="17"/>
      <c r="B107" s="17"/>
      <c r="C107" s="20"/>
      <c r="D107" s="21"/>
      <c r="E107" s="17"/>
      <c r="F107" s="17"/>
      <c r="G107" s="17"/>
    </row>
    <row r="108" customFormat="false" ht="15" hidden="false" customHeight="false" outlineLevel="0" collapsed="false">
      <c r="A108" s="17"/>
      <c r="B108" s="17"/>
      <c r="C108" s="20"/>
      <c r="D108" s="21"/>
      <c r="E108" s="17"/>
      <c r="F108" s="17"/>
      <c r="G108" s="17"/>
    </row>
    <row r="109" customFormat="false" ht="15" hidden="false" customHeight="false" outlineLevel="0" collapsed="false">
      <c r="A109" s="17"/>
      <c r="B109" s="17"/>
      <c r="C109" s="20"/>
      <c r="D109" s="21"/>
      <c r="E109" s="17"/>
      <c r="F109" s="17"/>
      <c r="G109" s="17"/>
    </row>
    <row r="110" customFormat="false" ht="15" hidden="false" customHeight="false" outlineLevel="0" collapsed="false">
      <c r="A110" s="17"/>
      <c r="B110" s="17"/>
      <c r="C110" s="20"/>
      <c r="D110" s="21"/>
      <c r="E110" s="17"/>
      <c r="F110" s="17"/>
      <c r="G110" s="17"/>
    </row>
    <row r="111" customFormat="false" ht="15" hidden="false" customHeight="false" outlineLevel="0" collapsed="false">
      <c r="A111" s="17"/>
      <c r="B111" s="17"/>
      <c r="C111" s="20"/>
      <c r="D111" s="21"/>
      <c r="E111" s="17"/>
      <c r="F111" s="17"/>
      <c r="G111" s="17"/>
    </row>
    <row r="112" customFormat="false" ht="15" hidden="false" customHeight="false" outlineLevel="0" collapsed="false">
      <c r="A112" s="17"/>
      <c r="B112" s="17"/>
      <c r="C112" s="20"/>
      <c r="D112" s="21"/>
      <c r="E112" s="17"/>
      <c r="F112" s="17"/>
      <c r="G112" s="17"/>
    </row>
    <row r="113" customFormat="false" ht="15" hidden="false" customHeight="false" outlineLevel="0" collapsed="false">
      <c r="A113" s="17"/>
      <c r="B113" s="17"/>
      <c r="C113" s="20"/>
      <c r="D113" s="21"/>
      <c r="E113" s="17"/>
      <c r="F113" s="17"/>
      <c r="G113" s="17"/>
    </row>
    <row r="114" customFormat="false" ht="15" hidden="false" customHeight="false" outlineLevel="0" collapsed="false">
      <c r="A114" s="17"/>
      <c r="B114" s="17"/>
      <c r="C114" s="20"/>
      <c r="D114" s="21"/>
      <c r="E114" s="17"/>
      <c r="F114" s="17"/>
      <c r="G114" s="17"/>
    </row>
    <row r="115" customFormat="false" ht="15" hidden="false" customHeight="false" outlineLevel="0" collapsed="false">
      <c r="A115" s="17"/>
      <c r="B115" s="17"/>
      <c r="C115" s="20"/>
      <c r="D115" s="21"/>
      <c r="E115" s="17"/>
      <c r="F115" s="17"/>
      <c r="G115" s="17"/>
    </row>
    <row r="116" customFormat="false" ht="15" hidden="false" customHeight="false" outlineLevel="0" collapsed="false">
      <c r="A116" s="17"/>
      <c r="B116" s="17"/>
      <c r="C116" s="20"/>
      <c r="D116" s="21"/>
      <c r="E116" s="17"/>
      <c r="F116" s="17"/>
      <c r="G116" s="17"/>
    </row>
    <row r="117" customFormat="false" ht="15" hidden="false" customHeight="false" outlineLevel="0" collapsed="false">
      <c r="A117" s="17"/>
      <c r="B117" s="17"/>
      <c r="C117" s="20"/>
      <c r="D117" s="21"/>
      <c r="E117" s="17"/>
      <c r="F117" s="17"/>
      <c r="G117" s="17"/>
    </row>
    <row r="118" customFormat="false" ht="15" hidden="false" customHeight="false" outlineLevel="0" collapsed="false">
      <c r="A118" s="17"/>
      <c r="B118" s="17"/>
      <c r="C118" s="20"/>
      <c r="D118" s="21"/>
      <c r="E118" s="17"/>
      <c r="F118" s="17"/>
      <c r="G118" s="17"/>
    </row>
    <row r="119" customFormat="false" ht="15" hidden="false" customHeight="false" outlineLevel="0" collapsed="false">
      <c r="A119" s="17"/>
      <c r="B119" s="17"/>
      <c r="C119" s="20"/>
      <c r="D119" s="21"/>
      <c r="E119" s="17"/>
      <c r="F119" s="17"/>
      <c r="G119" s="17"/>
    </row>
    <row r="120" customFormat="false" ht="15" hidden="false" customHeight="false" outlineLevel="0" collapsed="false">
      <c r="A120" s="17"/>
      <c r="B120" s="17"/>
      <c r="C120" s="20"/>
      <c r="D120" s="21"/>
      <c r="E120" s="17"/>
      <c r="F120" s="17"/>
      <c r="G120" s="17"/>
    </row>
    <row r="121" customFormat="false" ht="15" hidden="false" customHeight="false" outlineLevel="0" collapsed="false">
      <c r="A121" s="17"/>
      <c r="B121" s="17"/>
      <c r="C121" s="20"/>
      <c r="D121" s="21"/>
      <c r="E121" s="17"/>
      <c r="F121" s="17"/>
      <c r="G121" s="17"/>
    </row>
    <row r="122" customFormat="false" ht="15" hidden="false" customHeight="false" outlineLevel="0" collapsed="false">
      <c r="A122" s="17"/>
      <c r="B122" s="17"/>
      <c r="C122" s="20"/>
      <c r="D122" s="21"/>
      <c r="E122" s="17"/>
      <c r="F122" s="17"/>
      <c r="G122" s="17"/>
    </row>
    <row r="123" customFormat="false" ht="15" hidden="false" customHeight="false" outlineLevel="0" collapsed="false">
      <c r="A123" s="17"/>
      <c r="B123" s="17"/>
      <c r="C123" s="20"/>
      <c r="D123" s="21"/>
      <c r="E123" s="17"/>
      <c r="F123" s="17"/>
      <c r="G123" s="17"/>
    </row>
    <row r="124" customFormat="false" ht="15" hidden="false" customHeight="false" outlineLevel="0" collapsed="false">
      <c r="A124" s="17"/>
      <c r="B124" s="17"/>
      <c r="C124" s="20"/>
      <c r="D124" s="21"/>
      <c r="E124" s="17"/>
      <c r="F124" s="17"/>
      <c r="G124" s="17"/>
    </row>
    <row r="125" customFormat="false" ht="15" hidden="false" customHeight="false" outlineLevel="0" collapsed="false">
      <c r="A125" s="17"/>
      <c r="B125" s="17"/>
      <c r="C125" s="20"/>
      <c r="D125" s="21"/>
      <c r="E125" s="17"/>
      <c r="F125" s="17"/>
      <c r="G125" s="17"/>
    </row>
    <row r="126" customFormat="false" ht="15" hidden="false" customHeight="false" outlineLevel="0" collapsed="false">
      <c r="A126" s="17"/>
      <c r="B126" s="17"/>
      <c r="C126" s="20"/>
      <c r="D126" s="21"/>
      <c r="E126" s="17"/>
      <c r="F126" s="17"/>
      <c r="G126" s="17"/>
    </row>
    <row r="127" customFormat="false" ht="15" hidden="false" customHeight="false" outlineLevel="0" collapsed="false">
      <c r="A127" s="17"/>
      <c r="B127" s="17"/>
      <c r="C127" s="20"/>
      <c r="D127" s="21"/>
      <c r="E127" s="17"/>
      <c r="F127" s="17"/>
      <c r="G127" s="17"/>
    </row>
    <row r="128" customFormat="false" ht="15" hidden="false" customHeight="false" outlineLevel="0" collapsed="false">
      <c r="A128" s="17"/>
      <c r="B128" s="17"/>
      <c r="C128" s="20"/>
      <c r="D128" s="21"/>
      <c r="E128" s="17"/>
      <c r="F128" s="17"/>
      <c r="G128" s="17"/>
    </row>
    <row r="129" customFormat="false" ht="15" hidden="false" customHeight="false" outlineLevel="0" collapsed="false">
      <c r="A129" s="17"/>
      <c r="B129" s="17"/>
      <c r="C129" s="20"/>
      <c r="D129" s="21"/>
      <c r="E129" s="17"/>
      <c r="F129" s="17"/>
      <c r="G129" s="17"/>
    </row>
    <row r="130" customFormat="false" ht="15" hidden="false" customHeight="false" outlineLevel="0" collapsed="false">
      <c r="A130" s="17"/>
      <c r="B130" s="17"/>
      <c r="C130" s="20"/>
      <c r="D130" s="21"/>
      <c r="E130" s="17"/>
      <c r="F130" s="17"/>
      <c r="G130" s="17"/>
    </row>
    <row r="131" customFormat="false" ht="15" hidden="false" customHeight="false" outlineLevel="0" collapsed="false">
      <c r="A131" s="17"/>
      <c r="B131" s="17"/>
      <c r="C131" s="20"/>
      <c r="D131" s="21"/>
      <c r="E131" s="17"/>
      <c r="F131" s="17"/>
      <c r="G131" s="17"/>
    </row>
    <row r="132" customFormat="false" ht="15" hidden="false" customHeight="false" outlineLevel="0" collapsed="false">
      <c r="A132" s="17"/>
      <c r="B132" s="17"/>
      <c r="C132" s="20"/>
      <c r="D132" s="21"/>
      <c r="E132" s="17"/>
      <c r="F132" s="17"/>
      <c r="G132" s="17"/>
    </row>
    <row r="133" customFormat="false" ht="15" hidden="false" customHeight="false" outlineLevel="0" collapsed="false">
      <c r="A133" s="17"/>
      <c r="B133" s="17"/>
      <c r="C133" s="20"/>
      <c r="D133" s="21"/>
      <c r="E133" s="17"/>
      <c r="F133" s="17"/>
      <c r="G133" s="17"/>
    </row>
    <row r="134" customFormat="false" ht="15" hidden="false" customHeight="false" outlineLevel="0" collapsed="false">
      <c r="A134" s="17"/>
      <c r="B134" s="17"/>
      <c r="C134" s="20"/>
      <c r="D134" s="21"/>
      <c r="E134" s="17"/>
      <c r="F134" s="17"/>
      <c r="G134" s="17"/>
    </row>
    <row r="135" customFormat="false" ht="15" hidden="false" customHeight="false" outlineLevel="0" collapsed="false">
      <c r="A135" s="17"/>
      <c r="B135" s="17"/>
      <c r="C135" s="20"/>
      <c r="D135" s="21"/>
      <c r="E135" s="17"/>
      <c r="F135" s="17"/>
      <c r="G135" s="17"/>
    </row>
    <row r="136" customFormat="false" ht="15" hidden="false" customHeight="false" outlineLevel="0" collapsed="false">
      <c r="A136" s="17"/>
      <c r="B136" s="17"/>
      <c r="C136" s="20"/>
      <c r="D136" s="21"/>
      <c r="E136" s="17"/>
      <c r="F136" s="17"/>
      <c r="G136" s="17"/>
    </row>
    <row r="137" customFormat="false" ht="15" hidden="false" customHeight="false" outlineLevel="0" collapsed="false">
      <c r="A137" s="17"/>
      <c r="B137" s="17"/>
      <c r="C137" s="20"/>
      <c r="D137" s="21"/>
      <c r="E137" s="17"/>
      <c r="F137" s="17"/>
      <c r="G137" s="17"/>
    </row>
    <row r="138" customFormat="false" ht="15" hidden="false" customHeight="false" outlineLevel="0" collapsed="false">
      <c r="A138" s="17"/>
      <c r="B138" s="17"/>
      <c r="C138" s="20"/>
      <c r="D138" s="21"/>
      <c r="E138" s="17"/>
      <c r="F138" s="17"/>
      <c r="G138" s="17"/>
    </row>
    <row r="139" customFormat="false" ht="15" hidden="false" customHeight="false" outlineLevel="0" collapsed="false">
      <c r="A139" s="17"/>
      <c r="B139" s="17"/>
      <c r="C139" s="20"/>
      <c r="D139" s="21"/>
      <c r="E139" s="17"/>
      <c r="F139" s="17"/>
      <c r="G139" s="17"/>
    </row>
    <row r="140" customFormat="false" ht="15" hidden="false" customHeight="false" outlineLevel="0" collapsed="false">
      <c r="A140" s="17"/>
      <c r="B140" s="17"/>
      <c r="C140" s="20"/>
      <c r="D140" s="21"/>
      <c r="E140" s="17"/>
      <c r="F140" s="17"/>
      <c r="G140" s="17"/>
    </row>
    <row r="141" customFormat="false" ht="15" hidden="false" customHeight="false" outlineLevel="0" collapsed="false">
      <c r="A141" s="17"/>
      <c r="B141" s="17"/>
      <c r="C141" s="20"/>
      <c r="D141" s="21"/>
      <c r="E141" s="17"/>
      <c r="F141" s="17"/>
      <c r="G141" s="17"/>
    </row>
    <row r="142" customFormat="false" ht="15" hidden="false" customHeight="false" outlineLevel="0" collapsed="false">
      <c r="A142" s="17"/>
      <c r="B142" s="17"/>
      <c r="C142" s="20"/>
      <c r="D142" s="21"/>
      <c r="E142" s="17"/>
      <c r="F142" s="17"/>
      <c r="G142" s="17"/>
    </row>
    <row r="143" customFormat="false" ht="15" hidden="false" customHeight="false" outlineLevel="0" collapsed="false">
      <c r="A143" s="17"/>
      <c r="B143" s="17"/>
      <c r="C143" s="20"/>
      <c r="D143" s="21"/>
      <c r="E143" s="17"/>
      <c r="F143" s="17"/>
      <c r="G143" s="17"/>
    </row>
    <row r="144" customFormat="false" ht="15" hidden="false" customHeight="false" outlineLevel="0" collapsed="false">
      <c r="A144" s="17"/>
      <c r="B144" s="17"/>
      <c r="C144" s="20"/>
      <c r="D144" s="21"/>
      <c r="E144" s="17"/>
      <c r="F144" s="17"/>
      <c r="G144" s="17"/>
    </row>
    <row r="145" customFormat="false" ht="15" hidden="false" customHeight="false" outlineLevel="0" collapsed="false">
      <c r="A145" s="17"/>
      <c r="B145" s="17"/>
      <c r="C145" s="20"/>
      <c r="D145" s="21"/>
      <c r="E145" s="17"/>
      <c r="F145" s="17"/>
      <c r="G145" s="17"/>
    </row>
    <row r="146" customFormat="false" ht="15" hidden="false" customHeight="false" outlineLevel="0" collapsed="false">
      <c r="A146" s="17"/>
      <c r="B146" s="17"/>
      <c r="C146" s="20"/>
      <c r="D146" s="21"/>
      <c r="E146" s="17"/>
      <c r="F146" s="17"/>
      <c r="G146" s="17"/>
    </row>
    <row r="147" customFormat="false" ht="15" hidden="false" customHeight="false" outlineLevel="0" collapsed="false">
      <c r="A147" s="17"/>
      <c r="B147" s="17"/>
      <c r="C147" s="20"/>
      <c r="D147" s="21"/>
      <c r="E147" s="17"/>
      <c r="F147" s="17"/>
      <c r="G147" s="17"/>
    </row>
    <row r="148" customFormat="false" ht="15" hidden="false" customHeight="false" outlineLevel="0" collapsed="false">
      <c r="A148" s="17"/>
      <c r="B148" s="17"/>
      <c r="C148" s="20"/>
      <c r="D148" s="21"/>
      <c r="E148" s="17"/>
      <c r="F148" s="17"/>
      <c r="G148" s="17"/>
    </row>
    <row r="149" customFormat="false" ht="15" hidden="false" customHeight="false" outlineLevel="0" collapsed="false">
      <c r="A149" s="17"/>
      <c r="B149" s="17"/>
      <c r="C149" s="20"/>
      <c r="D149" s="21"/>
      <c r="E149" s="17"/>
      <c r="F149" s="17"/>
      <c r="G149" s="17"/>
    </row>
    <row r="150" customFormat="false" ht="15" hidden="false" customHeight="false" outlineLevel="0" collapsed="false">
      <c r="A150" s="17"/>
      <c r="B150" s="17"/>
      <c r="C150" s="20"/>
      <c r="D150" s="21"/>
      <c r="E150" s="17"/>
      <c r="F150" s="17"/>
      <c r="G150" s="17"/>
    </row>
    <row r="151" customFormat="false" ht="15" hidden="false" customHeight="false" outlineLevel="0" collapsed="false">
      <c r="A151" s="17"/>
      <c r="B151" s="17"/>
      <c r="C151" s="20"/>
      <c r="D151" s="21"/>
      <c r="E151" s="17"/>
      <c r="F151" s="17"/>
      <c r="G151" s="17"/>
    </row>
    <row r="152" customFormat="false" ht="15" hidden="false" customHeight="false" outlineLevel="0" collapsed="false">
      <c r="A152" s="17"/>
      <c r="B152" s="17"/>
      <c r="C152" s="20"/>
      <c r="D152" s="21"/>
      <c r="E152" s="17"/>
      <c r="F152" s="17"/>
      <c r="G152" s="17"/>
    </row>
    <row r="153" customFormat="false" ht="15" hidden="false" customHeight="false" outlineLevel="0" collapsed="false">
      <c r="A153" s="17"/>
      <c r="B153" s="17"/>
      <c r="C153" s="20"/>
      <c r="D153" s="21"/>
      <c r="E153" s="17"/>
      <c r="F153" s="17"/>
      <c r="G153" s="17"/>
    </row>
    <row r="154" customFormat="false" ht="15" hidden="false" customHeight="false" outlineLevel="0" collapsed="false">
      <c r="A154" s="17"/>
      <c r="B154" s="17"/>
      <c r="C154" s="20"/>
      <c r="D154" s="21"/>
      <c r="E154" s="17"/>
      <c r="F154" s="17"/>
      <c r="G154" s="17"/>
    </row>
    <row r="155" customFormat="false" ht="15" hidden="false" customHeight="false" outlineLevel="0" collapsed="false">
      <c r="A155" s="17"/>
      <c r="B155" s="17"/>
      <c r="C155" s="20"/>
      <c r="D155" s="21"/>
      <c r="E155" s="17"/>
      <c r="F155" s="17"/>
      <c r="G155" s="17"/>
    </row>
    <row r="156" customFormat="false" ht="15" hidden="false" customHeight="false" outlineLevel="0" collapsed="false">
      <c r="A156" s="17"/>
      <c r="B156" s="17"/>
      <c r="C156" s="20"/>
      <c r="D156" s="21"/>
      <c r="E156" s="17"/>
      <c r="F156" s="17"/>
      <c r="G156" s="17"/>
    </row>
    <row r="157" customFormat="false" ht="15" hidden="false" customHeight="false" outlineLevel="0" collapsed="false">
      <c r="A157" s="17"/>
      <c r="B157" s="17"/>
      <c r="C157" s="20"/>
      <c r="D157" s="21"/>
      <c r="E157" s="17"/>
      <c r="F157" s="17"/>
      <c r="G157" s="17"/>
    </row>
    <row r="158" customFormat="false" ht="15" hidden="false" customHeight="false" outlineLevel="0" collapsed="false">
      <c r="A158" s="17"/>
      <c r="B158" s="17"/>
      <c r="C158" s="20"/>
      <c r="D158" s="21"/>
      <c r="E158" s="17"/>
      <c r="F158" s="17"/>
      <c r="G158" s="17"/>
    </row>
    <row r="159" customFormat="false" ht="15" hidden="false" customHeight="false" outlineLevel="0" collapsed="false">
      <c r="A159" s="17"/>
      <c r="B159" s="17"/>
      <c r="C159" s="20"/>
      <c r="D159" s="21"/>
      <c r="E159" s="17"/>
      <c r="F159" s="17"/>
      <c r="G159" s="17"/>
    </row>
    <row r="160" customFormat="false" ht="15" hidden="false" customHeight="false" outlineLevel="0" collapsed="false">
      <c r="A160" s="17"/>
      <c r="B160" s="17"/>
      <c r="C160" s="20"/>
      <c r="D160" s="21"/>
      <c r="E160" s="17"/>
      <c r="F160" s="17"/>
      <c r="G160" s="17"/>
    </row>
    <row r="161" customFormat="false" ht="15" hidden="false" customHeight="false" outlineLevel="0" collapsed="false">
      <c r="A161" s="17"/>
      <c r="B161" s="17"/>
      <c r="C161" s="20"/>
      <c r="D161" s="21"/>
      <c r="E161" s="17"/>
      <c r="F161" s="17"/>
      <c r="G161" s="17"/>
    </row>
    <row r="162" customFormat="false" ht="15" hidden="false" customHeight="false" outlineLevel="0" collapsed="false">
      <c r="A162" s="17"/>
      <c r="B162" s="17"/>
      <c r="C162" s="20"/>
      <c r="D162" s="21"/>
      <c r="E162" s="17"/>
      <c r="F162" s="17"/>
      <c r="G162" s="17"/>
    </row>
    <row r="163" customFormat="false" ht="15" hidden="false" customHeight="false" outlineLevel="0" collapsed="false">
      <c r="A163" s="17"/>
      <c r="B163" s="17"/>
      <c r="C163" s="20"/>
      <c r="D163" s="21"/>
      <c r="E163" s="17"/>
      <c r="F163" s="17"/>
      <c r="G163" s="17"/>
    </row>
    <row r="164" customFormat="false" ht="15" hidden="false" customHeight="false" outlineLevel="0" collapsed="false">
      <c r="A164" s="17"/>
      <c r="B164" s="17"/>
      <c r="C164" s="20"/>
      <c r="D164" s="21"/>
      <c r="E164" s="17"/>
      <c r="F164" s="17"/>
      <c r="G164" s="17"/>
    </row>
    <row r="165" customFormat="false" ht="15" hidden="false" customHeight="false" outlineLevel="0" collapsed="false">
      <c r="A165" s="17"/>
      <c r="B165" s="17"/>
      <c r="C165" s="20"/>
      <c r="D165" s="21"/>
      <c r="E165" s="17"/>
      <c r="F165" s="17"/>
      <c r="G165" s="17"/>
    </row>
    <row r="166" customFormat="false" ht="15" hidden="false" customHeight="false" outlineLevel="0" collapsed="false">
      <c r="A166" s="17"/>
      <c r="B166" s="17"/>
      <c r="C166" s="20"/>
      <c r="D166" s="21"/>
      <c r="E166" s="17"/>
      <c r="F166" s="17"/>
      <c r="G166" s="17"/>
    </row>
    <row r="167" customFormat="false" ht="15" hidden="false" customHeight="false" outlineLevel="0" collapsed="false">
      <c r="A167" s="17"/>
      <c r="B167" s="17"/>
      <c r="C167" s="20"/>
      <c r="D167" s="21"/>
      <c r="E167" s="17"/>
      <c r="F167" s="17"/>
      <c r="G167" s="17"/>
    </row>
    <row r="168" customFormat="false" ht="15" hidden="false" customHeight="false" outlineLevel="0" collapsed="false">
      <c r="A168" s="17"/>
      <c r="B168" s="17"/>
      <c r="C168" s="20"/>
      <c r="D168" s="21"/>
      <c r="E168" s="17"/>
      <c r="F168" s="17"/>
      <c r="G168" s="17"/>
    </row>
    <row r="169" customFormat="false" ht="15" hidden="false" customHeight="false" outlineLevel="0" collapsed="false">
      <c r="A169" s="17"/>
      <c r="B169" s="17"/>
      <c r="C169" s="20"/>
      <c r="D169" s="21"/>
      <c r="E169" s="17"/>
      <c r="F169" s="17"/>
      <c r="G169" s="17"/>
    </row>
    <row r="170" customFormat="false" ht="15" hidden="false" customHeight="false" outlineLevel="0" collapsed="false">
      <c r="A170" s="17"/>
      <c r="B170" s="17"/>
      <c r="C170" s="20"/>
      <c r="D170" s="21"/>
      <c r="E170" s="17"/>
      <c r="F170" s="17"/>
      <c r="G170" s="17"/>
    </row>
    <row r="171" customFormat="false" ht="15" hidden="false" customHeight="false" outlineLevel="0" collapsed="false">
      <c r="A171" s="17"/>
      <c r="B171" s="17"/>
      <c r="C171" s="20"/>
      <c r="D171" s="21"/>
      <c r="E171" s="17"/>
      <c r="F171" s="17"/>
      <c r="G171" s="17"/>
    </row>
    <row r="172" customFormat="false" ht="15" hidden="false" customHeight="false" outlineLevel="0" collapsed="false">
      <c r="A172" s="17"/>
      <c r="B172" s="17"/>
      <c r="C172" s="20"/>
      <c r="D172" s="21"/>
      <c r="E172" s="17"/>
      <c r="F172" s="17"/>
      <c r="G172" s="17"/>
    </row>
    <row r="173" customFormat="false" ht="15" hidden="false" customHeight="false" outlineLevel="0" collapsed="false">
      <c r="A173" s="17"/>
      <c r="B173" s="17"/>
      <c r="C173" s="20"/>
      <c r="D173" s="21"/>
      <c r="E173" s="17"/>
      <c r="F173" s="17"/>
      <c r="G173" s="17"/>
    </row>
    <row r="174" customFormat="false" ht="15" hidden="false" customHeight="false" outlineLevel="0" collapsed="false">
      <c r="A174" s="17"/>
      <c r="B174" s="17"/>
      <c r="C174" s="20"/>
      <c r="D174" s="21"/>
      <c r="E174" s="17"/>
      <c r="F174" s="17"/>
      <c r="G174" s="17"/>
    </row>
    <row r="175" customFormat="false" ht="15" hidden="false" customHeight="false" outlineLevel="0" collapsed="false">
      <c r="A175" s="17"/>
      <c r="B175" s="17"/>
      <c r="C175" s="20"/>
      <c r="D175" s="21"/>
      <c r="E175" s="17"/>
      <c r="F175" s="17"/>
      <c r="G175" s="17"/>
    </row>
    <row r="176" customFormat="false" ht="15" hidden="false" customHeight="false" outlineLevel="0" collapsed="false">
      <c r="A176" s="17"/>
      <c r="B176" s="17"/>
      <c r="C176" s="20"/>
      <c r="D176" s="21"/>
      <c r="E176" s="17"/>
      <c r="F176" s="17"/>
      <c r="G176" s="17"/>
    </row>
    <row r="177" customFormat="false" ht="15" hidden="false" customHeight="false" outlineLevel="0" collapsed="false">
      <c r="A177" s="17"/>
      <c r="B177" s="17"/>
      <c r="C177" s="20"/>
      <c r="D177" s="21"/>
      <c r="E177" s="17"/>
      <c r="F177" s="17"/>
      <c r="G177" s="17"/>
    </row>
    <row r="178" customFormat="false" ht="15" hidden="false" customHeight="false" outlineLevel="0" collapsed="false">
      <c r="A178" s="17"/>
      <c r="B178" s="17"/>
      <c r="C178" s="20"/>
      <c r="D178" s="21"/>
      <c r="E178" s="17"/>
      <c r="F178" s="17"/>
      <c r="G178" s="17"/>
    </row>
    <row r="179" customFormat="false" ht="15" hidden="false" customHeight="false" outlineLevel="0" collapsed="false">
      <c r="A179" s="17"/>
      <c r="B179" s="17"/>
      <c r="C179" s="20"/>
      <c r="D179" s="21"/>
      <c r="E179" s="17"/>
      <c r="F179" s="17"/>
      <c r="G179" s="17"/>
    </row>
    <row r="180" customFormat="false" ht="15" hidden="false" customHeight="false" outlineLevel="0" collapsed="false">
      <c r="A180" s="17"/>
      <c r="B180" s="17"/>
      <c r="C180" s="20"/>
      <c r="D180" s="21"/>
      <c r="E180" s="17"/>
      <c r="F180" s="17"/>
      <c r="G180" s="17"/>
    </row>
    <row r="181" customFormat="false" ht="15" hidden="false" customHeight="false" outlineLevel="0" collapsed="false">
      <c r="A181" s="17"/>
      <c r="B181" s="17"/>
      <c r="C181" s="20"/>
      <c r="D181" s="21"/>
      <c r="E181" s="17"/>
      <c r="F181" s="17"/>
      <c r="G181" s="17"/>
    </row>
    <row r="182" customFormat="false" ht="15" hidden="false" customHeight="false" outlineLevel="0" collapsed="false">
      <c r="A182" s="17"/>
      <c r="B182" s="17"/>
      <c r="C182" s="20"/>
      <c r="D182" s="21"/>
      <c r="E182" s="17"/>
      <c r="F182" s="17"/>
      <c r="G182" s="17"/>
    </row>
    <row r="183" customFormat="false" ht="15" hidden="false" customHeight="false" outlineLevel="0" collapsed="false">
      <c r="A183" s="17"/>
      <c r="B183" s="17"/>
      <c r="C183" s="20"/>
      <c r="D183" s="21"/>
      <c r="E183" s="17"/>
      <c r="F183" s="17"/>
      <c r="G183" s="17"/>
    </row>
    <row r="184" customFormat="false" ht="15" hidden="false" customHeight="false" outlineLevel="0" collapsed="false">
      <c r="A184" s="17"/>
      <c r="B184" s="17"/>
      <c r="C184" s="20"/>
      <c r="D184" s="21"/>
      <c r="E184" s="17"/>
      <c r="F184" s="17"/>
      <c r="G184" s="17"/>
    </row>
    <row r="185" customFormat="false" ht="15" hidden="false" customHeight="false" outlineLevel="0" collapsed="false">
      <c r="A185" s="17"/>
      <c r="B185" s="17"/>
      <c r="C185" s="20"/>
      <c r="D185" s="21"/>
      <c r="E185" s="17"/>
      <c r="F185" s="17"/>
      <c r="G185" s="17"/>
    </row>
    <row r="186" customFormat="false" ht="15" hidden="false" customHeight="false" outlineLevel="0" collapsed="false">
      <c r="A186" s="17"/>
      <c r="B186" s="17"/>
      <c r="C186" s="20"/>
      <c r="D186" s="21"/>
      <c r="E186" s="17"/>
      <c r="F186" s="17"/>
      <c r="G186" s="17"/>
    </row>
    <row r="187" customFormat="false" ht="15" hidden="false" customHeight="false" outlineLevel="0" collapsed="false">
      <c r="A187" s="17"/>
      <c r="B187" s="17"/>
      <c r="C187" s="20"/>
      <c r="D187" s="21"/>
      <c r="E187" s="17"/>
      <c r="F187" s="17"/>
      <c r="G187" s="17"/>
    </row>
    <row r="188" customFormat="false" ht="15" hidden="false" customHeight="false" outlineLevel="0" collapsed="false">
      <c r="A188" s="17"/>
      <c r="B188" s="17"/>
      <c r="C188" s="20"/>
      <c r="D188" s="21"/>
      <c r="E188" s="17"/>
      <c r="F188" s="17"/>
      <c r="G188" s="17"/>
    </row>
    <row r="189" customFormat="false" ht="15" hidden="false" customHeight="false" outlineLevel="0" collapsed="false">
      <c r="A189" s="17"/>
      <c r="B189" s="17"/>
      <c r="C189" s="20"/>
      <c r="D189" s="21"/>
      <c r="E189" s="17"/>
      <c r="F189" s="17"/>
      <c r="G189" s="17"/>
    </row>
    <row r="190" customFormat="false" ht="15" hidden="false" customHeight="false" outlineLevel="0" collapsed="false">
      <c r="A190" s="17"/>
      <c r="B190" s="17"/>
      <c r="C190" s="20"/>
      <c r="D190" s="21"/>
      <c r="E190" s="17"/>
      <c r="F190" s="17"/>
      <c r="G190" s="17"/>
    </row>
    <row r="191" customFormat="false" ht="15" hidden="false" customHeight="false" outlineLevel="0" collapsed="false">
      <c r="A191" s="17"/>
      <c r="B191" s="17"/>
      <c r="C191" s="20"/>
      <c r="D191" s="21"/>
      <c r="E191" s="17"/>
      <c r="F191" s="17"/>
      <c r="G191" s="17"/>
    </row>
    <row r="192" customFormat="false" ht="15" hidden="false" customHeight="false" outlineLevel="0" collapsed="false">
      <c r="A192" s="17"/>
      <c r="B192" s="17"/>
      <c r="C192" s="20"/>
      <c r="D192" s="21"/>
      <c r="E192" s="17"/>
      <c r="F192" s="17"/>
      <c r="G192" s="17"/>
    </row>
    <row r="193" customFormat="false" ht="15" hidden="false" customHeight="false" outlineLevel="0" collapsed="false">
      <c r="A193" s="17"/>
      <c r="B193" s="17"/>
      <c r="C193" s="20"/>
      <c r="D193" s="21"/>
      <c r="E193" s="17"/>
      <c r="F193" s="17"/>
      <c r="G193" s="17"/>
    </row>
    <row r="194" customFormat="false" ht="15" hidden="false" customHeight="false" outlineLevel="0" collapsed="false">
      <c r="A194" s="17"/>
      <c r="B194" s="17"/>
      <c r="C194" s="20"/>
      <c r="D194" s="21"/>
      <c r="E194" s="17"/>
      <c r="F194" s="17"/>
      <c r="G194" s="17"/>
    </row>
    <row r="195" customFormat="false" ht="15" hidden="false" customHeight="false" outlineLevel="0" collapsed="false">
      <c r="A195" s="17"/>
      <c r="B195" s="17"/>
      <c r="C195" s="20"/>
      <c r="D195" s="21"/>
      <c r="E195" s="17"/>
      <c r="F195" s="17"/>
      <c r="G195" s="17"/>
    </row>
    <row r="196" customFormat="false" ht="15" hidden="false" customHeight="false" outlineLevel="0" collapsed="false">
      <c r="A196" s="17"/>
      <c r="B196" s="17"/>
      <c r="C196" s="20"/>
      <c r="D196" s="21"/>
      <c r="E196" s="17"/>
      <c r="F196" s="17"/>
      <c r="G196" s="17"/>
    </row>
    <row r="197" customFormat="false" ht="15" hidden="false" customHeight="false" outlineLevel="0" collapsed="false">
      <c r="A197" s="17"/>
      <c r="B197" s="17"/>
      <c r="C197" s="20"/>
      <c r="D197" s="21"/>
      <c r="E197" s="17"/>
      <c r="F197" s="17"/>
      <c r="G197" s="17"/>
    </row>
    <row r="198" customFormat="false" ht="15" hidden="false" customHeight="false" outlineLevel="0" collapsed="false">
      <c r="A198" s="17"/>
      <c r="B198" s="17"/>
      <c r="C198" s="20"/>
      <c r="D198" s="21"/>
      <c r="E198" s="17"/>
      <c r="F198" s="17"/>
      <c r="G198" s="17"/>
    </row>
    <row r="199" customFormat="false" ht="15" hidden="false" customHeight="false" outlineLevel="0" collapsed="false">
      <c r="A199" s="17"/>
      <c r="B199" s="17"/>
      <c r="C199" s="20"/>
      <c r="D199" s="21"/>
      <c r="E199" s="17"/>
      <c r="F199" s="17"/>
      <c r="G199" s="17"/>
    </row>
    <row r="200" customFormat="false" ht="15" hidden="false" customHeight="false" outlineLevel="0" collapsed="false">
      <c r="A200" s="17"/>
      <c r="B200" s="17"/>
      <c r="C200" s="20"/>
      <c r="D200" s="21"/>
      <c r="E200" s="17"/>
      <c r="F200" s="17"/>
      <c r="G200" s="17"/>
    </row>
    <row r="201" customFormat="false" ht="15" hidden="false" customHeight="false" outlineLevel="0" collapsed="false">
      <c r="A201" s="17"/>
      <c r="B201" s="17"/>
      <c r="C201" s="20"/>
      <c r="D201" s="21"/>
      <c r="E201" s="17"/>
      <c r="F201" s="17"/>
      <c r="G201" s="17"/>
    </row>
    <row r="202" customFormat="false" ht="15" hidden="false" customHeight="false" outlineLevel="0" collapsed="false">
      <c r="A202" s="17"/>
      <c r="B202" s="17"/>
      <c r="C202" s="20"/>
      <c r="D202" s="21"/>
      <c r="E202" s="17"/>
      <c r="F202" s="17"/>
      <c r="G202" s="17"/>
    </row>
    <row r="203" customFormat="false" ht="15" hidden="false" customHeight="false" outlineLevel="0" collapsed="false">
      <c r="A203" s="17"/>
      <c r="B203" s="17"/>
      <c r="C203" s="20"/>
      <c r="D203" s="21"/>
      <c r="E203" s="17"/>
      <c r="F203" s="17"/>
      <c r="G203" s="17"/>
    </row>
    <row r="204" customFormat="false" ht="15" hidden="false" customHeight="false" outlineLevel="0" collapsed="false">
      <c r="A204" s="17"/>
      <c r="B204" s="17"/>
      <c r="C204" s="20"/>
      <c r="D204" s="21"/>
      <c r="E204" s="17"/>
      <c r="F204" s="17"/>
      <c r="G204" s="17"/>
    </row>
    <row r="205" customFormat="false" ht="15" hidden="false" customHeight="false" outlineLevel="0" collapsed="false">
      <c r="A205" s="17"/>
      <c r="B205" s="17"/>
      <c r="C205" s="20"/>
      <c r="D205" s="21"/>
      <c r="E205" s="17"/>
      <c r="F205" s="17"/>
      <c r="G205" s="17"/>
    </row>
    <row r="206" customFormat="false" ht="15" hidden="false" customHeight="false" outlineLevel="0" collapsed="false">
      <c r="A206" s="17"/>
      <c r="B206" s="17"/>
      <c r="C206" s="20"/>
      <c r="D206" s="21"/>
      <c r="E206" s="17"/>
      <c r="F206" s="17"/>
      <c r="G206" s="17"/>
    </row>
    <row r="207" customFormat="false" ht="15" hidden="false" customHeight="false" outlineLevel="0" collapsed="false">
      <c r="A207" s="17"/>
      <c r="B207" s="17"/>
      <c r="C207" s="20"/>
      <c r="D207" s="21"/>
      <c r="E207" s="17"/>
      <c r="F207" s="17"/>
      <c r="G207" s="17"/>
    </row>
    <row r="208" customFormat="false" ht="15" hidden="false" customHeight="false" outlineLevel="0" collapsed="false">
      <c r="A208" s="17"/>
      <c r="B208" s="17"/>
      <c r="C208" s="20"/>
      <c r="D208" s="21"/>
      <c r="E208" s="17"/>
      <c r="F208" s="17"/>
      <c r="G208" s="17"/>
    </row>
    <row r="209" customFormat="false" ht="15" hidden="false" customHeight="false" outlineLevel="0" collapsed="false">
      <c r="A209" s="17"/>
      <c r="B209" s="17"/>
      <c r="C209" s="20"/>
      <c r="D209" s="21"/>
      <c r="E209" s="17"/>
      <c r="F209" s="17"/>
      <c r="G209" s="17"/>
    </row>
    <row r="210" customFormat="false" ht="15" hidden="false" customHeight="false" outlineLevel="0" collapsed="false">
      <c r="A210" s="17"/>
      <c r="B210" s="17"/>
      <c r="C210" s="20"/>
      <c r="D210" s="21"/>
      <c r="E210" s="17"/>
      <c r="F210" s="17"/>
      <c r="G210" s="17"/>
    </row>
    <row r="211" customFormat="false" ht="15" hidden="false" customHeight="false" outlineLevel="0" collapsed="false">
      <c r="A211" s="17"/>
      <c r="B211" s="17"/>
      <c r="C211" s="20"/>
      <c r="D211" s="21"/>
      <c r="E211" s="17"/>
      <c r="F211" s="17"/>
      <c r="G211" s="17"/>
    </row>
    <row r="212" customFormat="false" ht="15" hidden="false" customHeight="false" outlineLevel="0" collapsed="false">
      <c r="A212" s="17"/>
      <c r="B212" s="17"/>
      <c r="C212" s="20"/>
      <c r="D212" s="21"/>
      <c r="E212" s="17"/>
      <c r="F212" s="17"/>
      <c r="G212" s="17"/>
    </row>
    <row r="213" customFormat="false" ht="15" hidden="false" customHeight="false" outlineLevel="0" collapsed="false">
      <c r="A213" s="17"/>
      <c r="B213" s="17"/>
      <c r="C213" s="20"/>
      <c r="D213" s="21"/>
      <c r="E213" s="17"/>
      <c r="F213" s="17"/>
      <c r="G213" s="17"/>
    </row>
    <row r="214" customFormat="false" ht="15" hidden="false" customHeight="false" outlineLevel="0" collapsed="false">
      <c r="A214" s="17"/>
      <c r="B214" s="17"/>
      <c r="C214" s="20"/>
      <c r="D214" s="21"/>
      <c r="E214" s="17"/>
      <c r="F214" s="17"/>
      <c r="G214" s="17"/>
    </row>
    <row r="215" customFormat="false" ht="15" hidden="false" customHeight="false" outlineLevel="0" collapsed="false">
      <c r="A215" s="17"/>
      <c r="B215" s="17"/>
      <c r="C215" s="20"/>
      <c r="D215" s="21"/>
      <c r="E215" s="17"/>
      <c r="F215" s="17"/>
      <c r="G215" s="17"/>
    </row>
    <row r="216" customFormat="false" ht="15" hidden="false" customHeight="false" outlineLevel="0" collapsed="false">
      <c r="A216" s="17"/>
      <c r="B216" s="17"/>
      <c r="C216" s="20"/>
      <c r="D216" s="21"/>
      <c r="E216" s="17"/>
      <c r="F216" s="17"/>
      <c r="G216" s="17"/>
    </row>
    <row r="217" customFormat="false" ht="15" hidden="false" customHeight="false" outlineLevel="0" collapsed="false">
      <c r="A217" s="17"/>
      <c r="B217" s="17"/>
      <c r="C217" s="20"/>
      <c r="D217" s="21"/>
      <c r="E217" s="17"/>
      <c r="F217" s="17"/>
      <c r="G217" s="17"/>
    </row>
    <row r="218" customFormat="false" ht="15" hidden="false" customHeight="false" outlineLevel="0" collapsed="false">
      <c r="A218" s="17"/>
      <c r="B218" s="17"/>
      <c r="C218" s="20"/>
      <c r="D218" s="21"/>
      <c r="E218" s="17"/>
      <c r="F218" s="17"/>
      <c r="G218" s="17"/>
    </row>
    <row r="219" customFormat="false" ht="15" hidden="false" customHeight="false" outlineLevel="0" collapsed="false">
      <c r="A219" s="17"/>
      <c r="B219" s="17"/>
      <c r="C219" s="20"/>
      <c r="D219" s="21"/>
      <c r="E219" s="17"/>
      <c r="F219" s="17"/>
      <c r="G219" s="17"/>
    </row>
    <row r="220" customFormat="false" ht="15" hidden="false" customHeight="false" outlineLevel="0" collapsed="false">
      <c r="A220" s="17"/>
      <c r="B220" s="17"/>
      <c r="C220" s="20"/>
      <c r="D220" s="21"/>
      <c r="E220" s="17"/>
      <c r="F220" s="17"/>
      <c r="G220" s="17"/>
    </row>
    <row r="221" customFormat="false" ht="15" hidden="false" customHeight="false" outlineLevel="0" collapsed="false">
      <c r="A221" s="17"/>
      <c r="B221" s="17"/>
      <c r="C221" s="20"/>
      <c r="D221" s="21"/>
      <c r="E221" s="17"/>
      <c r="F221" s="17"/>
      <c r="G221" s="17"/>
    </row>
    <row r="222" customFormat="false" ht="15" hidden="false" customHeight="false" outlineLevel="0" collapsed="false">
      <c r="A222" s="17"/>
      <c r="B222" s="17"/>
      <c r="C222" s="20"/>
      <c r="D222" s="21"/>
      <c r="E222" s="17"/>
      <c r="F222" s="17"/>
      <c r="G222" s="17"/>
    </row>
    <row r="223" customFormat="false" ht="15" hidden="false" customHeight="false" outlineLevel="0" collapsed="false">
      <c r="A223" s="17"/>
      <c r="B223" s="17"/>
      <c r="C223" s="20"/>
      <c r="D223" s="21"/>
      <c r="E223" s="17"/>
      <c r="F223" s="17"/>
      <c r="G223" s="17"/>
    </row>
    <row r="224" customFormat="false" ht="15" hidden="false" customHeight="false" outlineLevel="0" collapsed="false">
      <c r="A224" s="17"/>
      <c r="B224" s="17"/>
      <c r="C224" s="20"/>
      <c r="D224" s="21"/>
      <c r="E224" s="17"/>
      <c r="F224" s="17"/>
      <c r="G224" s="17"/>
    </row>
    <row r="225" customFormat="false" ht="15" hidden="false" customHeight="false" outlineLevel="0" collapsed="false">
      <c r="A225" s="17"/>
      <c r="B225" s="17"/>
      <c r="C225" s="20"/>
      <c r="D225" s="21"/>
      <c r="E225" s="17"/>
      <c r="F225" s="17"/>
      <c r="G225" s="17"/>
    </row>
    <row r="226" customFormat="false" ht="15" hidden="false" customHeight="false" outlineLevel="0" collapsed="false">
      <c r="A226" s="17"/>
      <c r="B226" s="17"/>
      <c r="C226" s="20"/>
      <c r="D226" s="21"/>
      <c r="E226" s="17"/>
      <c r="F226" s="17"/>
      <c r="G226" s="17"/>
    </row>
    <row r="227" customFormat="false" ht="15" hidden="false" customHeight="false" outlineLevel="0" collapsed="false">
      <c r="A227" s="17"/>
      <c r="B227" s="17"/>
      <c r="C227" s="20"/>
      <c r="D227" s="21"/>
      <c r="E227" s="17"/>
      <c r="F227" s="17"/>
      <c r="G227" s="17"/>
    </row>
    <row r="228" customFormat="false" ht="15" hidden="false" customHeight="false" outlineLevel="0" collapsed="false">
      <c r="A228" s="17"/>
      <c r="B228" s="17"/>
      <c r="C228" s="20"/>
      <c r="D228" s="21"/>
      <c r="E228" s="17"/>
      <c r="F228" s="17"/>
      <c r="G228" s="17"/>
    </row>
    <row r="229" customFormat="false" ht="15" hidden="false" customHeight="false" outlineLevel="0" collapsed="false">
      <c r="A229" s="17"/>
      <c r="B229" s="17"/>
      <c r="C229" s="20"/>
      <c r="D229" s="21"/>
      <c r="E229" s="17"/>
      <c r="F229" s="17"/>
      <c r="G229" s="17"/>
    </row>
    <row r="230" customFormat="false" ht="15" hidden="false" customHeight="false" outlineLevel="0" collapsed="false">
      <c r="A230" s="17"/>
      <c r="B230" s="17"/>
      <c r="C230" s="20"/>
      <c r="D230" s="21"/>
      <c r="E230" s="17"/>
      <c r="F230" s="17"/>
      <c r="G230" s="17"/>
    </row>
    <row r="231" customFormat="false" ht="15" hidden="false" customHeight="false" outlineLevel="0" collapsed="false">
      <c r="A231" s="17"/>
      <c r="B231" s="17"/>
      <c r="C231" s="20"/>
      <c r="D231" s="21"/>
      <c r="E231" s="17"/>
      <c r="F231" s="17"/>
      <c r="G231" s="17"/>
    </row>
    <row r="232" customFormat="false" ht="15" hidden="false" customHeight="false" outlineLevel="0" collapsed="false">
      <c r="A232" s="17"/>
      <c r="B232" s="17"/>
      <c r="C232" s="20"/>
      <c r="D232" s="21"/>
      <c r="E232" s="17"/>
      <c r="F232" s="17"/>
      <c r="G232" s="17"/>
    </row>
    <row r="233" customFormat="false" ht="15" hidden="false" customHeight="false" outlineLevel="0" collapsed="false">
      <c r="A233" s="17"/>
      <c r="B233" s="17"/>
      <c r="C233" s="20"/>
      <c r="D233" s="21"/>
      <c r="E233" s="17"/>
      <c r="F233" s="17"/>
      <c r="G233" s="17"/>
    </row>
    <row r="234" customFormat="false" ht="15" hidden="false" customHeight="false" outlineLevel="0" collapsed="false">
      <c r="A234" s="17"/>
      <c r="B234" s="17"/>
      <c r="C234" s="20"/>
      <c r="D234" s="21"/>
      <c r="E234" s="17"/>
      <c r="F234" s="17"/>
      <c r="G234" s="17"/>
    </row>
    <row r="235" customFormat="false" ht="15" hidden="false" customHeight="false" outlineLevel="0" collapsed="false">
      <c r="A235" s="17"/>
      <c r="B235" s="17"/>
      <c r="C235" s="20"/>
      <c r="D235" s="21"/>
      <c r="E235" s="17"/>
      <c r="F235" s="17"/>
      <c r="G235" s="17"/>
    </row>
    <row r="236" customFormat="false" ht="15" hidden="false" customHeight="false" outlineLevel="0" collapsed="false">
      <c r="A236" s="17"/>
      <c r="B236" s="17"/>
      <c r="C236" s="20"/>
      <c r="D236" s="21"/>
      <c r="E236" s="17"/>
      <c r="F236" s="17"/>
      <c r="G236" s="17"/>
    </row>
    <row r="237" customFormat="false" ht="15" hidden="false" customHeight="false" outlineLevel="0" collapsed="false">
      <c r="A237" s="17"/>
      <c r="B237" s="17"/>
      <c r="C237" s="20"/>
      <c r="D237" s="21"/>
      <c r="E237" s="17"/>
      <c r="F237" s="17"/>
      <c r="G237" s="17"/>
    </row>
    <row r="238" customFormat="false" ht="15" hidden="false" customHeight="false" outlineLevel="0" collapsed="false">
      <c r="A238" s="17"/>
      <c r="B238" s="17"/>
      <c r="C238" s="20"/>
      <c r="D238" s="21"/>
      <c r="E238" s="17"/>
      <c r="F238" s="17"/>
      <c r="G238" s="17"/>
    </row>
    <row r="239" customFormat="false" ht="15" hidden="false" customHeight="false" outlineLevel="0" collapsed="false">
      <c r="A239" s="17"/>
      <c r="B239" s="17"/>
      <c r="C239" s="20"/>
      <c r="D239" s="21"/>
      <c r="E239" s="17"/>
      <c r="F239" s="17"/>
      <c r="G239" s="17"/>
    </row>
    <row r="240" customFormat="false" ht="15" hidden="false" customHeight="false" outlineLevel="0" collapsed="false">
      <c r="A240" s="17"/>
      <c r="B240" s="17"/>
      <c r="C240" s="20"/>
      <c r="D240" s="21"/>
      <c r="E240" s="17"/>
      <c r="F240" s="17"/>
      <c r="G240" s="17"/>
    </row>
    <row r="241" customFormat="false" ht="15" hidden="false" customHeight="false" outlineLevel="0" collapsed="false">
      <c r="A241" s="17"/>
      <c r="B241" s="17"/>
      <c r="C241" s="20"/>
      <c r="D241" s="21"/>
      <c r="E241" s="17"/>
      <c r="F241" s="17"/>
      <c r="G241" s="17"/>
    </row>
    <row r="242" customFormat="false" ht="15" hidden="false" customHeight="false" outlineLevel="0" collapsed="false">
      <c r="A242" s="17"/>
      <c r="B242" s="17"/>
      <c r="C242" s="20"/>
      <c r="D242" s="21"/>
      <c r="E242" s="17"/>
      <c r="F242" s="17"/>
      <c r="G242" s="17"/>
    </row>
    <row r="243" customFormat="false" ht="15" hidden="false" customHeight="false" outlineLevel="0" collapsed="false">
      <c r="A243" s="17"/>
      <c r="B243" s="17"/>
      <c r="C243" s="20"/>
      <c r="D243" s="21"/>
      <c r="E243" s="17"/>
      <c r="F243" s="17"/>
      <c r="G243" s="17"/>
    </row>
    <row r="244" customFormat="false" ht="15" hidden="false" customHeight="false" outlineLevel="0" collapsed="false">
      <c r="A244" s="17"/>
      <c r="B244" s="17"/>
      <c r="C244" s="20"/>
      <c r="D244" s="21"/>
      <c r="E244" s="17"/>
      <c r="F244" s="17"/>
      <c r="G244" s="17"/>
    </row>
    <row r="245" customFormat="false" ht="15" hidden="false" customHeight="false" outlineLevel="0" collapsed="false">
      <c r="A245" s="17"/>
      <c r="B245" s="17"/>
      <c r="C245" s="20"/>
      <c r="D245" s="21"/>
      <c r="E245" s="17"/>
      <c r="F245" s="17"/>
      <c r="G245" s="17"/>
    </row>
    <row r="246" customFormat="false" ht="15" hidden="false" customHeight="false" outlineLevel="0" collapsed="false">
      <c r="A246" s="17"/>
      <c r="B246" s="17"/>
      <c r="C246" s="20"/>
      <c r="D246" s="21"/>
      <c r="E246" s="17"/>
      <c r="F246" s="17"/>
      <c r="G246" s="17"/>
    </row>
    <row r="247" customFormat="false" ht="15" hidden="false" customHeight="false" outlineLevel="0" collapsed="false">
      <c r="A247" s="17"/>
      <c r="B247" s="17"/>
      <c r="C247" s="20"/>
      <c r="D247" s="21"/>
      <c r="E247" s="17"/>
      <c r="F247" s="17"/>
      <c r="G247" s="17"/>
    </row>
    <row r="248" customFormat="false" ht="15" hidden="false" customHeight="false" outlineLevel="0" collapsed="false">
      <c r="A248" s="17"/>
      <c r="B248" s="17"/>
      <c r="C248" s="20"/>
      <c r="D248" s="21"/>
      <c r="E248" s="17"/>
      <c r="F248" s="17"/>
      <c r="G248" s="17"/>
    </row>
    <row r="249" customFormat="false" ht="15" hidden="false" customHeight="false" outlineLevel="0" collapsed="false">
      <c r="A249" s="17"/>
      <c r="B249" s="17"/>
      <c r="C249" s="20"/>
      <c r="D249" s="21"/>
      <c r="E249" s="17"/>
      <c r="F249" s="17"/>
      <c r="G249" s="17"/>
    </row>
    <row r="250" customFormat="false" ht="15" hidden="false" customHeight="false" outlineLevel="0" collapsed="false">
      <c r="A250" s="17"/>
      <c r="B250" s="17"/>
      <c r="C250" s="20"/>
      <c r="D250" s="21"/>
      <c r="E250" s="17"/>
      <c r="F250" s="17"/>
      <c r="G250" s="17"/>
    </row>
    <row r="251" customFormat="false" ht="15" hidden="false" customHeight="false" outlineLevel="0" collapsed="false">
      <c r="A251" s="17"/>
      <c r="B251" s="17"/>
      <c r="C251" s="20"/>
      <c r="D251" s="21"/>
      <c r="E251" s="17"/>
      <c r="F251" s="17"/>
      <c r="G251" s="17"/>
    </row>
    <row r="252" customFormat="false" ht="15" hidden="false" customHeight="false" outlineLevel="0" collapsed="false">
      <c r="A252" s="17"/>
      <c r="B252" s="17"/>
      <c r="C252" s="20"/>
      <c r="D252" s="21"/>
      <c r="E252" s="17"/>
      <c r="F252" s="17"/>
      <c r="G252" s="17"/>
    </row>
    <row r="253" customFormat="false" ht="15" hidden="false" customHeight="false" outlineLevel="0" collapsed="false">
      <c r="A253" s="17"/>
      <c r="B253" s="17"/>
      <c r="C253" s="20"/>
      <c r="D253" s="21"/>
      <c r="E253" s="17"/>
      <c r="F253" s="17"/>
      <c r="G253" s="17"/>
    </row>
    <row r="254" customFormat="false" ht="15" hidden="false" customHeight="false" outlineLevel="0" collapsed="false">
      <c r="A254" s="17"/>
      <c r="B254" s="17"/>
      <c r="C254" s="20"/>
      <c r="D254" s="21"/>
      <c r="E254" s="17"/>
      <c r="F254" s="17"/>
      <c r="G254" s="17"/>
    </row>
    <row r="255" customFormat="false" ht="15" hidden="false" customHeight="false" outlineLevel="0" collapsed="false">
      <c r="A255" s="17"/>
      <c r="B255" s="17"/>
      <c r="C255" s="20"/>
      <c r="D255" s="21"/>
      <c r="E255" s="17"/>
      <c r="F255" s="17"/>
      <c r="G255" s="17"/>
    </row>
    <row r="256" customFormat="false" ht="15" hidden="false" customHeight="false" outlineLevel="0" collapsed="false">
      <c r="A256" s="17"/>
      <c r="B256" s="17"/>
      <c r="C256" s="20"/>
      <c r="D256" s="21"/>
      <c r="E256" s="17"/>
      <c r="F256" s="17"/>
      <c r="G256" s="17"/>
    </row>
    <row r="257" customFormat="false" ht="15" hidden="false" customHeight="false" outlineLevel="0" collapsed="false">
      <c r="A257" s="17"/>
      <c r="B257" s="17"/>
      <c r="C257" s="20"/>
      <c r="D257" s="21"/>
      <c r="E257" s="17"/>
      <c r="F257" s="17"/>
      <c r="G257" s="17"/>
    </row>
    <row r="258" customFormat="false" ht="15" hidden="false" customHeight="false" outlineLevel="0" collapsed="false">
      <c r="A258" s="17"/>
      <c r="B258" s="17"/>
      <c r="C258" s="20"/>
      <c r="D258" s="21"/>
      <c r="E258" s="17"/>
      <c r="F258" s="17"/>
      <c r="G258" s="17"/>
    </row>
    <row r="259" customFormat="false" ht="15" hidden="false" customHeight="false" outlineLevel="0" collapsed="false">
      <c r="A259" s="17"/>
      <c r="B259" s="17"/>
      <c r="C259" s="20"/>
      <c r="D259" s="21"/>
      <c r="E259" s="17"/>
      <c r="F259" s="17"/>
      <c r="G259" s="17"/>
    </row>
    <row r="260" customFormat="false" ht="15" hidden="false" customHeight="false" outlineLevel="0" collapsed="false">
      <c r="A260" s="17"/>
      <c r="B260" s="17"/>
      <c r="C260" s="20"/>
      <c r="D260" s="21"/>
      <c r="E260" s="17"/>
      <c r="F260" s="17"/>
      <c r="G260" s="17"/>
    </row>
    <row r="261" customFormat="false" ht="15" hidden="false" customHeight="false" outlineLevel="0" collapsed="false">
      <c r="A261" s="17"/>
      <c r="B261" s="17"/>
      <c r="C261" s="20"/>
      <c r="D261" s="21"/>
      <c r="E261" s="17"/>
      <c r="F261" s="17"/>
      <c r="G261" s="17"/>
    </row>
    <row r="262" customFormat="false" ht="15" hidden="false" customHeight="false" outlineLevel="0" collapsed="false">
      <c r="A262" s="17"/>
      <c r="B262" s="17"/>
      <c r="C262" s="20"/>
      <c r="D262" s="21"/>
      <c r="E262" s="17"/>
      <c r="F262" s="17"/>
      <c r="G262" s="17"/>
    </row>
    <row r="263" customFormat="false" ht="15" hidden="false" customHeight="false" outlineLevel="0" collapsed="false">
      <c r="A263" s="17"/>
      <c r="B263" s="17"/>
      <c r="C263" s="20"/>
      <c r="D263" s="21"/>
      <c r="E263" s="17"/>
      <c r="F263" s="17"/>
      <c r="G263" s="17"/>
    </row>
    <row r="264" customFormat="false" ht="15" hidden="false" customHeight="false" outlineLevel="0" collapsed="false">
      <c r="A264" s="17"/>
      <c r="B264" s="17"/>
      <c r="C264" s="20"/>
      <c r="D264" s="21"/>
      <c r="E264" s="17"/>
      <c r="F264" s="17"/>
      <c r="G264" s="17"/>
    </row>
    <row r="265" customFormat="false" ht="15" hidden="false" customHeight="false" outlineLevel="0" collapsed="false">
      <c r="A265" s="17"/>
      <c r="B265" s="17"/>
      <c r="C265" s="20"/>
      <c r="D265" s="21"/>
      <c r="E265" s="17"/>
      <c r="F265" s="17"/>
      <c r="G265" s="17"/>
    </row>
    <row r="266" customFormat="false" ht="15" hidden="false" customHeight="false" outlineLevel="0" collapsed="false">
      <c r="A266" s="17"/>
      <c r="B266" s="17"/>
      <c r="C266" s="20"/>
      <c r="D266" s="21"/>
      <c r="E266" s="17"/>
      <c r="F266" s="17"/>
      <c r="G266" s="17"/>
    </row>
    <row r="267" customFormat="false" ht="15" hidden="false" customHeight="false" outlineLevel="0" collapsed="false">
      <c r="A267" s="17"/>
      <c r="B267" s="17"/>
      <c r="C267" s="20"/>
      <c r="D267" s="21"/>
      <c r="E267" s="17"/>
      <c r="F267" s="17"/>
      <c r="G267" s="17"/>
    </row>
    <row r="268" customFormat="false" ht="15" hidden="false" customHeight="false" outlineLevel="0" collapsed="false">
      <c r="A268" s="17"/>
      <c r="B268" s="17"/>
      <c r="C268" s="20"/>
      <c r="D268" s="21"/>
      <c r="E268" s="17"/>
      <c r="F268" s="17"/>
      <c r="G268" s="17"/>
    </row>
    <row r="269" customFormat="false" ht="15" hidden="false" customHeight="false" outlineLevel="0" collapsed="false">
      <c r="A269" s="17"/>
      <c r="B269" s="17"/>
      <c r="C269" s="20"/>
      <c r="D269" s="21"/>
      <c r="E269" s="17"/>
      <c r="F269" s="17"/>
      <c r="G269" s="17"/>
    </row>
    <row r="270" customFormat="false" ht="15" hidden="false" customHeight="false" outlineLevel="0" collapsed="false">
      <c r="A270" s="17"/>
      <c r="B270" s="17"/>
      <c r="C270" s="20"/>
      <c r="D270" s="21"/>
      <c r="E270" s="17"/>
      <c r="F270" s="17"/>
      <c r="G270" s="17"/>
    </row>
    <row r="271" customFormat="false" ht="15" hidden="false" customHeight="false" outlineLevel="0" collapsed="false">
      <c r="A271" s="17"/>
      <c r="B271" s="17"/>
      <c r="C271" s="20"/>
      <c r="D271" s="21"/>
      <c r="E271" s="17"/>
      <c r="F271" s="17"/>
      <c r="G271" s="17"/>
    </row>
    <row r="272" customFormat="false" ht="15" hidden="false" customHeight="false" outlineLevel="0" collapsed="false">
      <c r="A272" s="17"/>
      <c r="B272" s="17"/>
      <c r="C272" s="20"/>
      <c r="D272" s="21"/>
      <c r="E272" s="17"/>
      <c r="F272" s="17"/>
      <c r="G272" s="17"/>
    </row>
    <row r="273" customFormat="false" ht="15" hidden="false" customHeight="false" outlineLevel="0" collapsed="false">
      <c r="A273" s="17"/>
      <c r="B273" s="17"/>
      <c r="C273" s="20"/>
      <c r="D273" s="21"/>
      <c r="E273" s="17"/>
      <c r="F273" s="17"/>
      <c r="G273" s="17"/>
    </row>
    <row r="274" customFormat="false" ht="15" hidden="false" customHeight="false" outlineLevel="0" collapsed="false">
      <c r="A274" s="17"/>
      <c r="B274" s="17"/>
      <c r="C274" s="20"/>
      <c r="D274" s="21"/>
      <c r="E274" s="17"/>
      <c r="F274" s="17"/>
      <c r="G274" s="17"/>
    </row>
    <row r="275" customFormat="false" ht="15" hidden="false" customHeight="false" outlineLevel="0" collapsed="false">
      <c r="A275" s="17"/>
      <c r="B275" s="17"/>
      <c r="C275" s="20"/>
      <c r="D275" s="21"/>
      <c r="E275" s="17"/>
      <c r="F275" s="17"/>
      <c r="G275" s="17"/>
    </row>
    <row r="276" customFormat="false" ht="15" hidden="false" customHeight="false" outlineLevel="0" collapsed="false">
      <c r="A276" s="17"/>
      <c r="B276" s="17"/>
      <c r="C276" s="20"/>
      <c r="D276" s="21"/>
      <c r="E276" s="17"/>
      <c r="F276" s="17"/>
      <c r="G276" s="17"/>
    </row>
    <row r="277" customFormat="false" ht="15" hidden="false" customHeight="false" outlineLevel="0" collapsed="false">
      <c r="A277" s="17"/>
      <c r="B277" s="17"/>
      <c r="C277" s="20"/>
      <c r="D277" s="21"/>
      <c r="E277" s="17"/>
      <c r="F277" s="17"/>
      <c r="G277" s="17"/>
    </row>
    <row r="278" customFormat="false" ht="15" hidden="false" customHeight="false" outlineLevel="0" collapsed="false">
      <c r="A278" s="17"/>
      <c r="B278" s="17"/>
      <c r="C278" s="20"/>
      <c r="D278" s="21"/>
      <c r="E278" s="17"/>
      <c r="F278" s="17"/>
      <c r="G278" s="17"/>
    </row>
    <row r="279" customFormat="false" ht="15" hidden="false" customHeight="false" outlineLevel="0" collapsed="false">
      <c r="A279" s="17"/>
      <c r="B279" s="17"/>
      <c r="C279" s="20"/>
      <c r="D279" s="21"/>
      <c r="E279" s="17"/>
      <c r="F279" s="17"/>
      <c r="G279" s="17"/>
    </row>
    <row r="280" customFormat="false" ht="15" hidden="false" customHeight="false" outlineLevel="0" collapsed="false">
      <c r="A280" s="17"/>
      <c r="B280" s="17"/>
      <c r="C280" s="20"/>
      <c r="D280" s="21"/>
      <c r="E280" s="17"/>
      <c r="F280" s="17"/>
      <c r="G280" s="17"/>
    </row>
    <row r="281" customFormat="false" ht="15" hidden="false" customHeight="false" outlineLevel="0" collapsed="false">
      <c r="A281" s="17"/>
      <c r="B281" s="17"/>
      <c r="C281" s="20"/>
      <c r="D281" s="21"/>
      <c r="E281" s="17"/>
      <c r="F281" s="17"/>
      <c r="G281" s="17"/>
    </row>
    <row r="282" customFormat="false" ht="15" hidden="false" customHeight="false" outlineLevel="0" collapsed="false">
      <c r="A282" s="17"/>
      <c r="B282" s="17"/>
      <c r="C282" s="20"/>
      <c r="D282" s="21"/>
      <c r="E282" s="17"/>
      <c r="F282" s="17"/>
      <c r="G282" s="17"/>
    </row>
    <row r="283" customFormat="false" ht="15" hidden="false" customHeight="false" outlineLevel="0" collapsed="false">
      <c r="A283" s="17"/>
      <c r="B283" s="17"/>
      <c r="C283" s="20"/>
      <c r="D283" s="21"/>
      <c r="E283" s="17"/>
      <c r="F283" s="17"/>
      <c r="G283" s="17"/>
    </row>
    <row r="284" customFormat="false" ht="15" hidden="false" customHeight="false" outlineLevel="0" collapsed="false">
      <c r="A284" s="17"/>
      <c r="B284" s="17"/>
      <c r="C284" s="20"/>
      <c r="D284" s="21"/>
      <c r="E284" s="17"/>
      <c r="F284" s="17"/>
      <c r="G284" s="17"/>
    </row>
    <row r="285" customFormat="false" ht="15" hidden="false" customHeight="false" outlineLevel="0" collapsed="false">
      <c r="A285" s="17"/>
      <c r="B285" s="17"/>
      <c r="C285" s="20"/>
      <c r="D285" s="21"/>
      <c r="E285" s="17"/>
      <c r="F285" s="17"/>
      <c r="G285" s="17"/>
    </row>
    <row r="286" customFormat="false" ht="15" hidden="false" customHeight="false" outlineLevel="0" collapsed="false">
      <c r="A286" s="17"/>
      <c r="B286" s="17"/>
      <c r="C286" s="20"/>
      <c r="D286" s="21"/>
      <c r="E286" s="17"/>
      <c r="F286" s="17"/>
      <c r="G286" s="17"/>
    </row>
    <row r="287" customFormat="false" ht="15" hidden="false" customHeight="false" outlineLevel="0" collapsed="false">
      <c r="A287" s="17"/>
      <c r="B287" s="17"/>
      <c r="C287" s="20"/>
      <c r="D287" s="21"/>
      <c r="E287" s="17"/>
      <c r="F287" s="17"/>
      <c r="G287" s="17"/>
    </row>
    <row r="288" customFormat="false" ht="15" hidden="false" customHeight="false" outlineLevel="0" collapsed="false">
      <c r="A288" s="17"/>
      <c r="B288" s="17"/>
      <c r="C288" s="20"/>
      <c r="D288" s="21"/>
      <c r="E288" s="17"/>
      <c r="F288" s="17"/>
      <c r="G288" s="17"/>
    </row>
    <row r="289" customFormat="false" ht="15" hidden="false" customHeight="false" outlineLevel="0" collapsed="false">
      <c r="A289" s="17"/>
      <c r="B289" s="17"/>
      <c r="C289" s="20"/>
      <c r="D289" s="21"/>
      <c r="E289" s="17"/>
      <c r="F289" s="17"/>
      <c r="G289" s="17"/>
    </row>
    <row r="290" customFormat="false" ht="15" hidden="false" customHeight="false" outlineLevel="0" collapsed="false">
      <c r="A290" s="17"/>
      <c r="B290" s="17"/>
      <c r="C290" s="20"/>
      <c r="D290" s="21"/>
      <c r="E290" s="17"/>
      <c r="F290" s="17"/>
      <c r="G290" s="17"/>
    </row>
    <row r="291" customFormat="false" ht="15" hidden="false" customHeight="false" outlineLevel="0" collapsed="false">
      <c r="A291" s="17"/>
      <c r="B291" s="17"/>
      <c r="C291" s="20"/>
      <c r="D291" s="21"/>
      <c r="E291" s="17"/>
      <c r="F291" s="17"/>
      <c r="G291" s="17"/>
    </row>
    <row r="292" customFormat="false" ht="15" hidden="false" customHeight="false" outlineLevel="0" collapsed="false">
      <c r="A292" s="17"/>
      <c r="B292" s="17"/>
      <c r="C292" s="20"/>
      <c r="D292" s="21"/>
      <c r="E292" s="17"/>
      <c r="F292" s="17"/>
      <c r="G292" s="17"/>
    </row>
    <row r="293" customFormat="false" ht="15" hidden="false" customHeight="false" outlineLevel="0" collapsed="false">
      <c r="A293" s="17"/>
      <c r="B293" s="17"/>
      <c r="C293" s="20"/>
      <c r="D293" s="21"/>
      <c r="E293" s="17"/>
      <c r="F293" s="17"/>
      <c r="G293" s="17"/>
    </row>
    <row r="294" customFormat="false" ht="15" hidden="false" customHeight="false" outlineLevel="0" collapsed="false">
      <c r="A294" s="17"/>
      <c r="B294" s="17"/>
      <c r="C294" s="20"/>
      <c r="D294" s="21"/>
      <c r="E294" s="17"/>
      <c r="F294" s="17"/>
      <c r="G294" s="17"/>
    </row>
    <row r="295" customFormat="false" ht="15" hidden="false" customHeight="false" outlineLevel="0" collapsed="false">
      <c r="A295" s="17"/>
      <c r="B295" s="17"/>
      <c r="C295" s="20"/>
      <c r="D295" s="21"/>
      <c r="E295" s="17"/>
      <c r="F295" s="17"/>
      <c r="G295" s="17"/>
    </row>
    <row r="296" customFormat="false" ht="15" hidden="false" customHeight="false" outlineLevel="0" collapsed="false">
      <c r="A296" s="17"/>
      <c r="B296" s="17"/>
      <c r="C296" s="20"/>
      <c r="D296" s="21"/>
      <c r="E296" s="17"/>
      <c r="F296" s="17"/>
      <c r="G296" s="17"/>
    </row>
    <row r="297" customFormat="false" ht="15" hidden="false" customHeight="false" outlineLevel="0" collapsed="false">
      <c r="A297" s="17"/>
      <c r="B297" s="17"/>
      <c r="C297" s="20"/>
      <c r="D297" s="21"/>
      <c r="E297" s="17"/>
      <c r="F297" s="17"/>
      <c r="G297" s="17"/>
    </row>
    <row r="298" customFormat="false" ht="15" hidden="false" customHeight="false" outlineLevel="0" collapsed="false">
      <c r="A298" s="17"/>
      <c r="B298" s="17"/>
      <c r="C298" s="20"/>
      <c r="D298" s="21"/>
      <c r="E298" s="17"/>
      <c r="F298" s="17"/>
      <c r="G298" s="17"/>
    </row>
    <row r="299" customFormat="false" ht="15" hidden="false" customHeight="false" outlineLevel="0" collapsed="false">
      <c r="A299" s="17"/>
      <c r="B299" s="17"/>
      <c r="C299" s="20"/>
      <c r="D299" s="21"/>
      <c r="E299" s="17"/>
      <c r="F299" s="17"/>
      <c r="G299" s="17"/>
    </row>
    <row r="300" customFormat="false" ht="15" hidden="false" customHeight="false" outlineLevel="0" collapsed="false">
      <c r="A300" s="17"/>
      <c r="B300" s="17"/>
      <c r="C300" s="20"/>
      <c r="D300" s="21"/>
      <c r="E300" s="17"/>
      <c r="F300" s="17"/>
      <c r="G300" s="17"/>
    </row>
    <row r="301" customFormat="false" ht="15" hidden="false" customHeight="false" outlineLevel="0" collapsed="false">
      <c r="A301" s="17"/>
      <c r="B301" s="17"/>
      <c r="C301" s="20"/>
      <c r="D301" s="21"/>
      <c r="E301" s="17"/>
      <c r="F301" s="17"/>
      <c r="G301" s="17"/>
    </row>
    <row r="302" customFormat="false" ht="15" hidden="false" customHeight="false" outlineLevel="0" collapsed="false">
      <c r="A302" s="17"/>
      <c r="B302" s="17"/>
      <c r="C302" s="20"/>
      <c r="D302" s="21"/>
      <c r="E302" s="17"/>
      <c r="F302" s="17"/>
      <c r="G302" s="17"/>
    </row>
    <row r="303" customFormat="false" ht="15" hidden="false" customHeight="false" outlineLevel="0" collapsed="false">
      <c r="A303" s="17"/>
      <c r="B303" s="17"/>
      <c r="C303" s="20"/>
      <c r="D303" s="21"/>
      <c r="E303" s="17"/>
      <c r="F303" s="17"/>
      <c r="G303" s="17"/>
    </row>
    <row r="304" customFormat="false" ht="15" hidden="false" customHeight="false" outlineLevel="0" collapsed="false">
      <c r="A304" s="17"/>
      <c r="B304" s="17"/>
      <c r="C304" s="20"/>
      <c r="D304" s="21"/>
      <c r="E304" s="17"/>
      <c r="F304" s="17"/>
      <c r="G304" s="17"/>
    </row>
    <row r="305" customFormat="false" ht="15" hidden="false" customHeight="false" outlineLevel="0" collapsed="false">
      <c r="A305" s="17"/>
      <c r="B305" s="17"/>
      <c r="C305" s="20"/>
      <c r="D305" s="21"/>
      <c r="E305" s="17"/>
      <c r="F305" s="17"/>
      <c r="G305" s="17"/>
    </row>
    <row r="306" customFormat="false" ht="15" hidden="false" customHeight="false" outlineLevel="0" collapsed="false">
      <c r="A306" s="17"/>
      <c r="B306" s="17"/>
      <c r="C306" s="20"/>
      <c r="D306" s="21"/>
      <c r="E306" s="17"/>
      <c r="F306" s="17"/>
      <c r="G306" s="17"/>
    </row>
    <row r="307" customFormat="false" ht="15" hidden="false" customHeight="false" outlineLevel="0" collapsed="false">
      <c r="A307" s="17"/>
      <c r="B307" s="17"/>
      <c r="C307" s="20"/>
      <c r="D307" s="21"/>
      <c r="E307" s="17"/>
      <c r="F307" s="17"/>
      <c r="G307" s="17"/>
    </row>
    <row r="308" customFormat="false" ht="15" hidden="false" customHeight="false" outlineLevel="0" collapsed="false">
      <c r="A308" s="17"/>
      <c r="B308" s="17"/>
      <c r="C308" s="20"/>
      <c r="D308" s="21"/>
      <c r="E308" s="17"/>
      <c r="F308" s="17"/>
      <c r="G308" s="17"/>
    </row>
    <row r="309" customFormat="false" ht="15" hidden="false" customHeight="false" outlineLevel="0" collapsed="false">
      <c r="A309" s="17"/>
      <c r="B309" s="17"/>
      <c r="C309" s="20"/>
      <c r="D309" s="21"/>
      <c r="E309" s="17"/>
      <c r="F309" s="17"/>
      <c r="G309" s="17"/>
    </row>
    <row r="310" customFormat="false" ht="15" hidden="false" customHeight="false" outlineLevel="0" collapsed="false">
      <c r="A310" s="17"/>
      <c r="B310" s="17"/>
      <c r="C310" s="20"/>
      <c r="D310" s="21"/>
      <c r="E310" s="17"/>
      <c r="F310" s="17"/>
      <c r="G310" s="17"/>
    </row>
    <row r="311" customFormat="false" ht="15" hidden="false" customHeight="false" outlineLevel="0" collapsed="false">
      <c r="A311" s="17"/>
      <c r="B311" s="17"/>
      <c r="C311" s="20"/>
      <c r="D311" s="21"/>
      <c r="E311" s="17"/>
      <c r="F311" s="17"/>
      <c r="G311" s="17"/>
    </row>
    <row r="312" customFormat="false" ht="15" hidden="false" customHeight="false" outlineLevel="0" collapsed="false">
      <c r="A312" s="17"/>
      <c r="B312" s="17"/>
      <c r="C312" s="20"/>
      <c r="D312" s="21"/>
      <c r="E312" s="17"/>
      <c r="F312" s="17"/>
      <c r="G312" s="17"/>
    </row>
    <row r="313" customFormat="false" ht="15" hidden="false" customHeight="false" outlineLevel="0" collapsed="false">
      <c r="A313" s="17"/>
      <c r="B313" s="17"/>
      <c r="C313" s="20"/>
      <c r="D313" s="21"/>
      <c r="E313" s="17"/>
      <c r="F313" s="17"/>
      <c r="G313" s="17"/>
    </row>
    <row r="314" customFormat="false" ht="15" hidden="false" customHeight="false" outlineLevel="0" collapsed="false">
      <c r="A314" s="17"/>
      <c r="B314" s="17"/>
      <c r="C314" s="20"/>
      <c r="D314" s="21"/>
      <c r="E314" s="17"/>
      <c r="F314" s="17"/>
      <c r="G314" s="17"/>
    </row>
    <row r="315" customFormat="false" ht="15" hidden="false" customHeight="false" outlineLevel="0" collapsed="false">
      <c r="A315" s="17"/>
      <c r="B315" s="17"/>
      <c r="C315" s="20"/>
      <c r="D315" s="21"/>
      <c r="E315" s="17"/>
      <c r="F315" s="17"/>
      <c r="G315" s="17"/>
    </row>
    <row r="316" customFormat="false" ht="15" hidden="false" customHeight="false" outlineLevel="0" collapsed="false">
      <c r="A316" s="17"/>
      <c r="B316" s="17"/>
      <c r="C316" s="20"/>
      <c r="D316" s="21"/>
      <c r="E316" s="17"/>
      <c r="F316" s="17"/>
      <c r="G316" s="17"/>
    </row>
    <row r="317" customFormat="false" ht="15" hidden="false" customHeight="false" outlineLevel="0" collapsed="false">
      <c r="A317" s="17"/>
      <c r="B317" s="17"/>
      <c r="C317" s="20"/>
      <c r="D317" s="21"/>
      <c r="E317" s="17"/>
      <c r="F317" s="17"/>
      <c r="G317" s="17"/>
    </row>
    <row r="318" customFormat="false" ht="15" hidden="false" customHeight="false" outlineLevel="0" collapsed="false">
      <c r="A318" s="17"/>
      <c r="B318" s="17"/>
      <c r="C318" s="20"/>
      <c r="D318" s="21"/>
      <c r="E318" s="17"/>
      <c r="F318" s="17"/>
      <c r="G318" s="17"/>
    </row>
    <row r="319" customFormat="false" ht="15" hidden="false" customHeight="false" outlineLevel="0" collapsed="false">
      <c r="A319" s="17"/>
      <c r="B319" s="17"/>
      <c r="C319" s="20"/>
      <c r="D319" s="21"/>
      <c r="E319" s="17"/>
      <c r="F319" s="17"/>
      <c r="G319" s="17"/>
    </row>
    <row r="320" customFormat="false" ht="15" hidden="false" customHeight="false" outlineLevel="0" collapsed="false">
      <c r="A320" s="17"/>
      <c r="B320" s="17"/>
      <c r="C320" s="20"/>
      <c r="D320" s="21"/>
      <c r="E320" s="17"/>
      <c r="F320" s="17"/>
      <c r="G320" s="17"/>
    </row>
    <row r="321" customFormat="false" ht="15" hidden="false" customHeight="false" outlineLevel="0" collapsed="false">
      <c r="A321" s="17"/>
      <c r="B321" s="17"/>
      <c r="C321" s="20"/>
      <c r="D321" s="21"/>
      <c r="E321" s="17"/>
      <c r="F321" s="17"/>
      <c r="G321" s="17"/>
    </row>
    <row r="322" customFormat="false" ht="15" hidden="false" customHeight="false" outlineLevel="0" collapsed="false">
      <c r="A322" s="17"/>
      <c r="B322" s="17"/>
      <c r="C322" s="20"/>
      <c r="D322" s="21"/>
      <c r="E322" s="17"/>
      <c r="F322" s="17"/>
      <c r="G322" s="17"/>
    </row>
    <row r="323" customFormat="false" ht="15" hidden="false" customHeight="false" outlineLevel="0" collapsed="false">
      <c r="A323" s="17"/>
      <c r="B323" s="17"/>
      <c r="C323" s="20"/>
      <c r="D323" s="21"/>
      <c r="E323" s="17"/>
      <c r="F323" s="17"/>
      <c r="G323" s="17"/>
    </row>
    <row r="324" customFormat="false" ht="15" hidden="false" customHeight="false" outlineLevel="0" collapsed="false">
      <c r="A324" s="17"/>
      <c r="B324" s="17"/>
      <c r="C324" s="20"/>
      <c r="D324" s="21"/>
      <c r="E324" s="17"/>
      <c r="F324" s="17"/>
      <c r="G324" s="17"/>
    </row>
    <row r="325" customFormat="false" ht="15" hidden="false" customHeight="false" outlineLevel="0" collapsed="false">
      <c r="A325" s="17"/>
      <c r="B325" s="17"/>
      <c r="C325" s="20"/>
      <c r="D325" s="21"/>
      <c r="E325" s="17"/>
      <c r="F325" s="17"/>
      <c r="G325" s="17"/>
    </row>
    <row r="326" customFormat="false" ht="15" hidden="false" customHeight="false" outlineLevel="0" collapsed="false">
      <c r="A326" s="17"/>
      <c r="B326" s="17"/>
      <c r="C326" s="20"/>
      <c r="D326" s="21"/>
      <c r="E326" s="17"/>
      <c r="F326" s="17"/>
      <c r="G326" s="17"/>
    </row>
    <row r="327" customFormat="false" ht="15" hidden="false" customHeight="false" outlineLevel="0" collapsed="false">
      <c r="A327" s="17"/>
      <c r="B327" s="17"/>
      <c r="C327" s="20"/>
      <c r="D327" s="21"/>
      <c r="E327" s="17"/>
      <c r="F327" s="17"/>
      <c r="G327" s="17"/>
    </row>
    <row r="328" customFormat="false" ht="15" hidden="false" customHeight="false" outlineLevel="0" collapsed="false">
      <c r="A328" s="17"/>
      <c r="B328" s="17"/>
      <c r="C328" s="20"/>
      <c r="D328" s="21"/>
      <c r="E328" s="17"/>
      <c r="F328" s="17"/>
      <c r="G328" s="17"/>
    </row>
    <row r="329" customFormat="false" ht="15" hidden="false" customHeight="false" outlineLevel="0" collapsed="false">
      <c r="A329" s="17"/>
      <c r="B329" s="17"/>
      <c r="C329" s="20"/>
      <c r="D329" s="21"/>
      <c r="E329" s="17"/>
      <c r="F329" s="17"/>
      <c r="G329" s="17"/>
    </row>
    <row r="330" customFormat="false" ht="15" hidden="false" customHeight="false" outlineLevel="0" collapsed="false">
      <c r="A330" s="17"/>
      <c r="B330" s="17"/>
      <c r="C330" s="20"/>
      <c r="D330" s="21"/>
      <c r="E330" s="17"/>
      <c r="F330" s="17"/>
      <c r="G330" s="17"/>
    </row>
    <row r="331" customFormat="false" ht="15" hidden="false" customHeight="false" outlineLevel="0" collapsed="false">
      <c r="A331" s="17"/>
      <c r="B331" s="17"/>
      <c r="C331" s="20"/>
      <c r="D331" s="21"/>
      <c r="E331" s="17"/>
      <c r="F331" s="17"/>
      <c r="G331" s="17"/>
    </row>
    <row r="332" customFormat="false" ht="15" hidden="false" customHeight="false" outlineLevel="0" collapsed="false">
      <c r="A332" s="17"/>
      <c r="B332" s="17"/>
      <c r="C332" s="20"/>
      <c r="D332" s="21"/>
      <c r="E332" s="17"/>
      <c r="F332" s="17"/>
      <c r="G332" s="17"/>
    </row>
    <row r="333" customFormat="false" ht="15" hidden="false" customHeight="false" outlineLevel="0" collapsed="false">
      <c r="A333" s="17"/>
      <c r="B333" s="17"/>
      <c r="C333" s="20"/>
      <c r="D333" s="21"/>
      <c r="E333" s="17"/>
      <c r="F333" s="17"/>
      <c r="G333" s="17"/>
    </row>
    <row r="334" customFormat="false" ht="15" hidden="false" customHeight="false" outlineLevel="0" collapsed="false">
      <c r="A334" s="17"/>
      <c r="B334" s="17"/>
      <c r="C334" s="20"/>
      <c r="D334" s="21"/>
      <c r="E334" s="17"/>
      <c r="F334" s="17"/>
      <c r="G334" s="17"/>
    </row>
    <row r="335" customFormat="false" ht="15" hidden="false" customHeight="false" outlineLevel="0" collapsed="false">
      <c r="A335" s="17"/>
      <c r="B335" s="17"/>
      <c r="C335" s="20"/>
      <c r="D335" s="21"/>
      <c r="E335" s="17"/>
      <c r="F335" s="17"/>
      <c r="G335" s="17"/>
    </row>
    <row r="336" customFormat="false" ht="15" hidden="false" customHeight="false" outlineLevel="0" collapsed="false">
      <c r="A336" s="17"/>
      <c r="B336" s="17"/>
      <c r="C336" s="20"/>
      <c r="D336" s="21"/>
      <c r="E336" s="17"/>
      <c r="F336" s="17"/>
      <c r="G336" s="17"/>
    </row>
    <row r="337" customFormat="false" ht="15" hidden="false" customHeight="false" outlineLevel="0" collapsed="false">
      <c r="A337" s="17"/>
      <c r="B337" s="17"/>
      <c r="C337" s="20"/>
      <c r="D337" s="21"/>
      <c r="E337" s="17"/>
      <c r="F337" s="17"/>
      <c r="G337" s="17"/>
    </row>
    <row r="338" customFormat="false" ht="15" hidden="false" customHeight="false" outlineLevel="0" collapsed="false">
      <c r="A338" s="17"/>
      <c r="B338" s="17"/>
      <c r="C338" s="20"/>
      <c r="D338" s="21"/>
      <c r="E338" s="17"/>
      <c r="F338" s="17"/>
      <c r="G338" s="17"/>
    </row>
    <row r="339" customFormat="false" ht="15" hidden="false" customHeight="false" outlineLevel="0" collapsed="false">
      <c r="A339" s="17"/>
      <c r="B339" s="17"/>
      <c r="C339" s="20"/>
      <c r="D339" s="21"/>
      <c r="E339" s="17"/>
      <c r="F339" s="17"/>
      <c r="G339" s="17"/>
    </row>
    <row r="340" customFormat="false" ht="15" hidden="false" customHeight="false" outlineLevel="0" collapsed="false">
      <c r="A340" s="17"/>
      <c r="B340" s="17"/>
      <c r="C340" s="20"/>
      <c r="D340" s="21"/>
      <c r="E340" s="17"/>
      <c r="F340" s="17"/>
      <c r="G340" s="17"/>
    </row>
    <row r="341" customFormat="false" ht="15" hidden="false" customHeight="false" outlineLevel="0" collapsed="false">
      <c r="A341" s="17"/>
      <c r="B341" s="17"/>
      <c r="C341" s="20"/>
      <c r="D341" s="21"/>
      <c r="E341" s="17"/>
      <c r="F341" s="17"/>
      <c r="G341" s="17"/>
    </row>
    <row r="342" customFormat="false" ht="15" hidden="false" customHeight="false" outlineLevel="0" collapsed="false">
      <c r="A342" s="17"/>
      <c r="B342" s="17"/>
      <c r="C342" s="20"/>
      <c r="D342" s="21"/>
      <c r="E342" s="17"/>
      <c r="F342" s="17"/>
      <c r="G342" s="17"/>
    </row>
    <row r="343" customFormat="false" ht="15" hidden="false" customHeight="false" outlineLevel="0" collapsed="false">
      <c r="A343" s="17"/>
      <c r="B343" s="17"/>
      <c r="C343" s="20"/>
      <c r="D343" s="21"/>
      <c r="E343" s="17"/>
      <c r="F343" s="17"/>
      <c r="G343" s="17"/>
    </row>
    <row r="344" customFormat="false" ht="15" hidden="false" customHeight="false" outlineLevel="0" collapsed="false">
      <c r="A344" s="17"/>
      <c r="B344" s="17"/>
      <c r="C344" s="20"/>
      <c r="D344" s="21"/>
      <c r="E344" s="17"/>
      <c r="F344" s="17"/>
      <c r="G344" s="17"/>
    </row>
    <row r="345" customFormat="false" ht="15" hidden="false" customHeight="false" outlineLevel="0" collapsed="false">
      <c r="A345" s="17"/>
      <c r="B345" s="17"/>
      <c r="C345" s="20"/>
      <c r="D345" s="21"/>
      <c r="E345" s="17"/>
      <c r="F345" s="17"/>
      <c r="G345" s="17"/>
    </row>
    <row r="346" customFormat="false" ht="15" hidden="false" customHeight="false" outlineLevel="0" collapsed="false">
      <c r="A346" s="17"/>
      <c r="B346" s="17"/>
      <c r="C346" s="20"/>
      <c r="D346" s="21"/>
      <c r="E346" s="17"/>
      <c r="F346" s="17"/>
      <c r="G346" s="17"/>
    </row>
    <row r="347" customFormat="false" ht="15" hidden="false" customHeight="false" outlineLevel="0" collapsed="false">
      <c r="A347" s="17"/>
      <c r="B347" s="17"/>
      <c r="C347" s="20"/>
      <c r="D347" s="21"/>
      <c r="E347" s="17"/>
      <c r="F347" s="17"/>
      <c r="G347" s="17"/>
    </row>
    <row r="348" customFormat="false" ht="15" hidden="false" customHeight="false" outlineLevel="0" collapsed="false">
      <c r="A348" s="17"/>
      <c r="B348" s="17"/>
      <c r="C348" s="20"/>
      <c r="D348" s="21"/>
      <c r="E348" s="17"/>
      <c r="F348" s="17"/>
      <c r="G348" s="17"/>
    </row>
    <row r="349" customFormat="false" ht="15" hidden="false" customHeight="false" outlineLevel="0" collapsed="false">
      <c r="A349" s="17"/>
      <c r="B349" s="17"/>
      <c r="C349" s="20"/>
      <c r="D349" s="21"/>
      <c r="E349" s="17"/>
      <c r="F349" s="17"/>
      <c r="G349" s="17"/>
    </row>
    <row r="350" customFormat="false" ht="15" hidden="false" customHeight="false" outlineLevel="0" collapsed="false">
      <c r="A350" s="17"/>
      <c r="B350" s="17"/>
      <c r="C350" s="20"/>
      <c r="D350" s="21"/>
      <c r="E350" s="17"/>
      <c r="F350" s="17"/>
      <c r="G350" s="17"/>
    </row>
    <row r="351" customFormat="false" ht="15" hidden="false" customHeight="false" outlineLevel="0" collapsed="false">
      <c r="A351" s="17"/>
      <c r="B351" s="17"/>
      <c r="C351" s="20"/>
      <c r="D351" s="21"/>
      <c r="E351" s="17"/>
      <c r="F351" s="17"/>
      <c r="G351" s="17"/>
    </row>
    <row r="352" customFormat="false" ht="15" hidden="false" customHeight="false" outlineLevel="0" collapsed="false">
      <c r="A352" s="17"/>
      <c r="B352" s="17"/>
      <c r="C352" s="20"/>
      <c r="D352" s="21"/>
      <c r="E352" s="17"/>
      <c r="F352" s="17"/>
      <c r="G352" s="17"/>
    </row>
    <row r="353" customFormat="false" ht="15" hidden="false" customHeight="false" outlineLevel="0" collapsed="false">
      <c r="A353" s="17"/>
      <c r="B353" s="17"/>
      <c r="C353" s="20"/>
      <c r="D353" s="21"/>
      <c r="E353" s="17"/>
      <c r="F353" s="17"/>
      <c r="G353" s="17"/>
    </row>
    <row r="354" customFormat="false" ht="15" hidden="false" customHeight="false" outlineLevel="0" collapsed="false">
      <c r="A354" s="17"/>
      <c r="B354" s="17"/>
      <c r="C354" s="20"/>
      <c r="D354" s="21"/>
      <c r="E354" s="17"/>
      <c r="F354" s="17"/>
      <c r="G354" s="17"/>
    </row>
    <row r="355" customFormat="false" ht="15" hidden="false" customHeight="false" outlineLevel="0" collapsed="false">
      <c r="A355" s="17"/>
      <c r="B355" s="17"/>
      <c r="C355" s="20"/>
      <c r="D355" s="21"/>
      <c r="E355" s="17"/>
      <c r="F355" s="17"/>
      <c r="G355" s="17"/>
    </row>
    <row r="356" customFormat="false" ht="15" hidden="false" customHeight="false" outlineLevel="0" collapsed="false">
      <c r="A356" s="17"/>
      <c r="B356" s="17"/>
      <c r="C356" s="20"/>
      <c r="D356" s="21"/>
      <c r="E356" s="17"/>
      <c r="F356" s="17"/>
      <c r="G356" s="17"/>
    </row>
    <row r="357" customFormat="false" ht="15" hidden="false" customHeight="false" outlineLevel="0" collapsed="false">
      <c r="A357" s="17"/>
      <c r="B357" s="17"/>
      <c r="C357" s="20"/>
      <c r="D357" s="21"/>
      <c r="E357" s="17"/>
      <c r="F357" s="17"/>
      <c r="G357" s="17"/>
    </row>
    <row r="358" customFormat="false" ht="15" hidden="false" customHeight="false" outlineLevel="0" collapsed="false">
      <c r="A358" s="17"/>
      <c r="B358" s="17"/>
      <c r="C358" s="20"/>
      <c r="D358" s="21"/>
      <c r="E358" s="17"/>
      <c r="F358" s="17"/>
      <c r="G358" s="17"/>
    </row>
    <row r="359" customFormat="false" ht="15" hidden="false" customHeight="false" outlineLevel="0" collapsed="false">
      <c r="A359" s="17"/>
      <c r="B359" s="17"/>
      <c r="C359" s="20"/>
      <c r="D359" s="21"/>
      <c r="E359" s="17"/>
      <c r="F359" s="17"/>
      <c r="G359" s="17"/>
    </row>
    <row r="360" customFormat="false" ht="15" hidden="false" customHeight="false" outlineLevel="0" collapsed="false">
      <c r="A360" s="17"/>
      <c r="B360" s="17"/>
      <c r="C360" s="20"/>
      <c r="D360" s="21"/>
      <c r="E360" s="17"/>
      <c r="F360" s="17"/>
      <c r="G360" s="17"/>
    </row>
    <row r="361" customFormat="false" ht="15" hidden="false" customHeight="false" outlineLevel="0" collapsed="false">
      <c r="A361" s="17"/>
      <c r="B361" s="17"/>
      <c r="C361" s="20"/>
      <c r="D361" s="21"/>
      <c r="E361" s="17"/>
      <c r="F361" s="17"/>
      <c r="G361" s="17"/>
    </row>
    <row r="362" customFormat="false" ht="15" hidden="false" customHeight="false" outlineLevel="0" collapsed="false">
      <c r="A362" s="17"/>
      <c r="B362" s="17"/>
      <c r="C362" s="20"/>
      <c r="D362" s="21"/>
      <c r="E362" s="17"/>
      <c r="F362" s="17"/>
      <c r="G362" s="17"/>
    </row>
    <row r="363" customFormat="false" ht="15" hidden="false" customHeight="false" outlineLevel="0" collapsed="false">
      <c r="A363" s="17"/>
      <c r="B363" s="17"/>
      <c r="C363" s="20"/>
      <c r="D363" s="21"/>
      <c r="E363" s="17"/>
      <c r="F363" s="17"/>
      <c r="G363" s="17"/>
    </row>
    <row r="364" customFormat="false" ht="15" hidden="false" customHeight="false" outlineLevel="0" collapsed="false">
      <c r="A364" s="17"/>
      <c r="B364" s="17"/>
      <c r="C364" s="20"/>
      <c r="D364" s="21"/>
      <c r="E364" s="17"/>
      <c r="F364" s="17"/>
      <c r="G364" s="17"/>
    </row>
    <row r="365" customFormat="false" ht="15" hidden="false" customHeight="false" outlineLevel="0" collapsed="false">
      <c r="A365" s="17"/>
      <c r="B365" s="17"/>
      <c r="C365" s="20"/>
      <c r="D365" s="21"/>
      <c r="E365" s="17"/>
      <c r="F365" s="17"/>
      <c r="G365" s="17"/>
    </row>
    <row r="366" customFormat="false" ht="15" hidden="false" customHeight="false" outlineLevel="0" collapsed="false">
      <c r="A366" s="17"/>
      <c r="B366" s="17"/>
      <c r="C366" s="20"/>
      <c r="D366" s="21"/>
      <c r="E366" s="17"/>
      <c r="F366" s="17"/>
      <c r="G366" s="17"/>
    </row>
    <row r="367" customFormat="false" ht="15" hidden="false" customHeight="false" outlineLevel="0" collapsed="false">
      <c r="A367" s="17"/>
      <c r="B367" s="17"/>
      <c r="C367" s="20"/>
      <c r="D367" s="21"/>
      <c r="E367" s="17"/>
      <c r="F367" s="17"/>
      <c r="G367" s="17"/>
    </row>
    <row r="368" customFormat="false" ht="15" hidden="false" customHeight="false" outlineLevel="0" collapsed="false">
      <c r="A368" s="17"/>
      <c r="B368" s="17"/>
      <c r="C368" s="20"/>
      <c r="D368" s="21"/>
      <c r="E368" s="17"/>
      <c r="F368" s="17"/>
      <c r="G368" s="17"/>
    </row>
    <row r="369" customFormat="false" ht="15" hidden="false" customHeight="false" outlineLevel="0" collapsed="false">
      <c r="A369" s="17"/>
      <c r="B369" s="17"/>
      <c r="C369" s="20"/>
      <c r="D369" s="21"/>
      <c r="E369" s="17"/>
      <c r="F369" s="17"/>
      <c r="G369" s="17"/>
    </row>
    <row r="370" customFormat="false" ht="15" hidden="false" customHeight="false" outlineLevel="0" collapsed="false">
      <c r="A370" s="17"/>
      <c r="B370" s="17"/>
      <c r="C370" s="20"/>
      <c r="D370" s="21"/>
      <c r="E370" s="17"/>
      <c r="F370" s="17"/>
      <c r="G370" s="17"/>
    </row>
    <row r="371" customFormat="false" ht="15" hidden="false" customHeight="false" outlineLevel="0" collapsed="false">
      <c r="A371" s="17"/>
      <c r="B371" s="17"/>
      <c r="C371" s="20"/>
      <c r="D371" s="21"/>
      <c r="E371" s="17"/>
      <c r="F371" s="17"/>
      <c r="G371" s="17"/>
    </row>
    <row r="372" customFormat="false" ht="15" hidden="false" customHeight="false" outlineLevel="0" collapsed="false">
      <c r="A372" s="17"/>
      <c r="B372" s="17"/>
      <c r="C372" s="20"/>
      <c r="D372" s="21"/>
      <c r="E372" s="17"/>
      <c r="F372" s="17"/>
      <c r="G372" s="17"/>
    </row>
    <row r="373" customFormat="false" ht="15" hidden="false" customHeight="false" outlineLevel="0" collapsed="false">
      <c r="A373" s="17"/>
      <c r="B373" s="17"/>
      <c r="C373" s="20"/>
      <c r="D373" s="21"/>
      <c r="E373" s="17"/>
      <c r="F373" s="17"/>
      <c r="G373" s="17"/>
    </row>
    <row r="374" customFormat="false" ht="15" hidden="false" customHeight="false" outlineLevel="0" collapsed="false">
      <c r="A374" s="17"/>
      <c r="B374" s="17"/>
      <c r="C374" s="20"/>
      <c r="D374" s="21"/>
      <c r="E374" s="17"/>
      <c r="F374" s="17"/>
      <c r="G374" s="17"/>
    </row>
    <row r="375" customFormat="false" ht="15" hidden="false" customHeight="false" outlineLevel="0" collapsed="false">
      <c r="A375" s="17"/>
      <c r="B375" s="17"/>
      <c r="C375" s="20"/>
      <c r="D375" s="21"/>
      <c r="E375" s="17"/>
      <c r="F375" s="17"/>
      <c r="G375" s="17"/>
    </row>
    <row r="376" customFormat="false" ht="15" hidden="false" customHeight="false" outlineLevel="0" collapsed="false">
      <c r="A376" s="17"/>
      <c r="B376" s="17"/>
      <c r="C376" s="20"/>
      <c r="D376" s="21"/>
      <c r="E376" s="17"/>
      <c r="F376" s="17"/>
      <c r="G376" s="17"/>
    </row>
    <row r="377" customFormat="false" ht="15" hidden="false" customHeight="false" outlineLevel="0" collapsed="false">
      <c r="A377" s="17"/>
      <c r="B377" s="17"/>
      <c r="C377" s="20"/>
      <c r="D377" s="21"/>
      <c r="E377" s="17"/>
      <c r="F377" s="17"/>
      <c r="G377" s="17"/>
    </row>
    <row r="378" customFormat="false" ht="15" hidden="false" customHeight="false" outlineLevel="0" collapsed="false">
      <c r="A378" s="17"/>
      <c r="B378" s="17"/>
      <c r="C378" s="20"/>
      <c r="D378" s="21"/>
      <c r="E378" s="17"/>
      <c r="F378" s="17"/>
      <c r="G378" s="17"/>
    </row>
    <row r="379" customFormat="false" ht="15" hidden="false" customHeight="false" outlineLevel="0" collapsed="false">
      <c r="A379" s="17"/>
      <c r="B379" s="17"/>
      <c r="C379" s="20"/>
      <c r="D379" s="21"/>
      <c r="E379" s="17"/>
      <c r="F379" s="17"/>
      <c r="G379" s="17"/>
    </row>
    <row r="380" customFormat="false" ht="15" hidden="false" customHeight="false" outlineLevel="0" collapsed="false">
      <c r="A380" s="17"/>
      <c r="B380" s="17"/>
      <c r="C380" s="20"/>
      <c r="D380" s="21"/>
      <c r="E380" s="17"/>
      <c r="F380" s="17"/>
      <c r="G380" s="17"/>
    </row>
    <row r="381" customFormat="false" ht="15" hidden="false" customHeight="false" outlineLevel="0" collapsed="false">
      <c r="A381" s="17"/>
      <c r="B381" s="17"/>
      <c r="C381" s="20"/>
      <c r="D381" s="21"/>
      <c r="E381" s="17"/>
      <c r="F381" s="17"/>
      <c r="G381" s="17"/>
    </row>
    <row r="382" customFormat="false" ht="15" hidden="false" customHeight="false" outlineLevel="0" collapsed="false">
      <c r="A382" s="17"/>
      <c r="B382" s="17"/>
      <c r="C382" s="20"/>
      <c r="D382" s="21"/>
      <c r="E382" s="17"/>
      <c r="F382" s="17"/>
      <c r="G382" s="17"/>
    </row>
    <row r="383" customFormat="false" ht="15" hidden="false" customHeight="false" outlineLevel="0" collapsed="false">
      <c r="A383" s="17"/>
      <c r="B383" s="17"/>
      <c r="C383" s="20"/>
      <c r="D383" s="21"/>
      <c r="E383" s="17"/>
      <c r="F383" s="17"/>
      <c r="G383" s="17"/>
    </row>
    <row r="384" customFormat="false" ht="15" hidden="false" customHeight="false" outlineLevel="0" collapsed="false">
      <c r="A384" s="17"/>
      <c r="B384" s="17"/>
      <c r="C384" s="20"/>
      <c r="D384" s="21"/>
      <c r="E384" s="17"/>
      <c r="F384" s="17"/>
      <c r="G384" s="17"/>
    </row>
    <row r="385" customFormat="false" ht="15" hidden="false" customHeight="false" outlineLevel="0" collapsed="false">
      <c r="A385" s="17"/>
      <c r="B385" s="17"/>
      <c r="C385" s="20"/>
      <c r="D385" s="21"/>
      <c r="E385" s="17"/>
      <c r="F385" s="17"/>
      <c r="G385" s="17"/>
    </row>
    <row r="386" customFormat="false" ht="15" hidden="false" customHeight="false" outlineLevel="0" collapsed="false">
      <c r="A386" s="17"/>
      <c r="B386" s="17"/>
      <c r="C386" s="20"/>
      <c r="D386" s="21"/>
      <c r="E386" s="17"/>
      <c r="F386" s="17"/>
      <c r="G386" s="17"/>
    </row>
    <row r="387" customFormat="false" ht="15" hidden="false" customHeight="false" outlineLevel="0" collapsed="false">
      <c r="A387" s="17"/>
      <c r="B387" s="17"/>
      <c r="C387" s="20"/>
      <c r="D387" s="21"/>
      <c r="E387" s="17"/>
      <c r="F387" s="17"/>
      <c r="G387" s="17"/>
    </row>
    <row r="388" customFormat="false" ht="15" hidden="false" customHeight="false" outlineLevel="0" collapsed="false">
      <c r="A388" s="17"/>
      <c r="B388" s="17"/>
      <c r="C388" s="20"/>
      <c r="D388" s="21"/>
      <c r="E388" s="17"/>
      <c r="F388" s="17"/>
      <c r="G388" s="17"/>
    </row>
    <row r="389" customFormat="false" ht="15" hidden="false" customHeight="false" outlineLevel="0" collapsed="false">
      <c r="A389" s="17"/>
      <c r="B389" s="17"/>
      <c r="C389" s="20"/>
      <c r="D389" s="21"/>
      <c r="E389" s="17"/>
      <c r="F389" s="17"/>
      <c r="G389" s="17"/>
    </row>
    <row r="390" customFormat="false" ht="15" hidden="false" customHeight="false" outlineLevel="0" collapsed="false">
      <c r="A390" s="17"/>
      <c r="B390" s="17"/>
      <c r="C390" s="20"/>
      <c r="D390" s="21"/>
      <c r="E390" s="17"/>
      <c r="F390" s="17"/>
      <c r="G390" s="17"/>
    </row>
    <row r="391" customFormat="false" ht="15" hidden="false" customHeight="false" outlineLevel="0" collapsed="false">
      <c r="A391" s="17"/>
      <c r="B391" s="17"/>
      <c r="C391" s="20"/>
      <c r="D391" s="21"/>
      <c r="E391" s="17"/>
      <c r="F391" s="17"/>
      <c r="G391" s="17"/>
    </row>
    <row r="392" customFormat="false" ht="15" hidden="false" customHeight="false" outlineLevel="0" collapsed="false">
      <c r="A392" s="17"/>
      <c r="B392" s="17"/>
      <c r="C392" s="20"/>
      <c r="D392" s="21"/>
      <c r="E392" s="17"/>
      <c r="F392" s="17"/>
      <c r="G392" s="17"/>
    </row>
    <row r="393" customFormat="false" ht="15" hidden="false" customHeight="false" outlineLevel="0" collapsed="false">
      <c r="A393" s="17"/>
      <c r="B393" s="17"/>
      <c r="C393" s="20"/>
      <c r="D393" s="21"/>
      <c r="E393" s="17"/>
      <c r="F393" s="17"/>
      <c r="G393" s="17"/>
    </row>
    <row r="394" customFormat="false" ht="15" hidden="false" customHeight="false" outlineLevel="0" collapsed="false">
      <c r="A394" s="17"/>
      <c r="B394" s="17"/>
      <c r="C394" s="20"/>
      <c r="D394" s="21"/>
      <c r="E394" s="17"/>
      <c r="F394" s="17"/>
      <c r="G394" s="17"/>
    </row>
    <row r="395" customFormat="false" ht="15" hidden="false" customHeight="false" outlineLevel="0" collapsed="false">
      <c r="A395" s="17"/>
      <c r="B395" s="17"/>
      <c r="C395" s="20"/>
      <c r="D395" s="21"/>
      <c r="E395" s="17"/>
      <c r="F395" s="17"/>
      <c r="G395" s="17"/>
    </row>
    <row r="396" customFormat="false" ht="15" hidden="false" customHeight="false" outlineLevel="0" collapsed="false">
      <c r="A396" s="17"/>
      <c r="B396" s="17"/>
      <c r="C396" s="20"/>
      <c r="D396" s="21"/>
      <c r="E396" s="17"/>
      <c r="F396" s="17"/>
      <c r="G396" s="17"/>
    </row>
    <row r="397" customFormat="false" ht="15" hidden="false" customHeight="false" outlineLevel="0" collapsed="false">
      <c r="A397" s="17"/>
      <c r="B397" s="17"/>
      <c r="C397" s="20"/>
      <c r="D397" s="21"/>
      <c r="E397" s="17"/>
      <c r="F397" s="17"/>
      <c r="G397" s="17"/>
    </row>
    <row r="398" customFormat="false" ht="15" hidden="false" customHeight="false" outlineLevel="0" collapsed="false">
      <c r="A398" s="17"/>
      <c r="B398" s="17"/>
      <c r="C398" s="20"/>
      <c r="D398" s="21"/>
      <c r="E398" s="17"/>
      <c r="F398" s="17"/>
      <c r="G398" s="17"/>
    </row>
    <row r="399" customFormat="false" ht="15" hidden="false" customHeight="false" outlineLevel="0" collapsed="false">
      <c r="A399" s="17"/>
      <c r="B399" s="17"/>
      <c r="C399" s="20"/>
      <c r="D399" s="21"/>
      <c r="E399" s="17"/>
      <c r="F399" s="17"/>
      <c r="G399" s="17"/>
    </row>
    <row r="400" customFormat="false" ht="15" hidden="false" customHeight="false" outlineLevel="0" collapsed="false">
      <c r="A400" s="17"/>
      <c r="B400" s="17"/>
      <c r="C400" s="20"/>
      <c r="D400" s="21"/>
      <c r="E400" s="17"/>
      <c r="F400" s="17"/>
      <c r="G400" s="17"/>
    </row>
    <row r="401" customFormat="false" ht="15" hidden="false" customHeight="false" outlineLevel="0" collapsed="false">
      <c r="A401" s="17"/>
      <c r="B401" s="17"/>
      <c r="C401" s="20"/>
      <c r="D401" s="21"/>
      <c r="E401" s="17"/>
      <c r="F401" s="17"/>
      <c r="G401" s="17"/>
    </row>
    <row r="402" customFormat="false" ht="15" hidden="false" customHeight="false" outlineLevel="0" collapsed="false">
      <c r="A402" s="17"/>
      <c r="B402" s="17"/>
      <c r="C402" s="20"/>
      <c r="D402" s="21"/>
      <c r="E402" s="17"/>
      <c r="F402" s="17"/>
      <c r="G402" s="17"/>
    </row>
    <row r="403" customFormat="false" ht="15" hidden="false" customHeight="false" outlineLevel="0" collapsed="false">
      <c r="A403" s="17"/>
      <c r="B403" s="17"/>
      <c r="C403" s="20"/>
      <c r="D403" s="21"/>
      <c r="E403" s="17"/>
      <c r="F403" s="17"/>
      <c r="G403" s="17"/>
    </row>
    <row r="404" customFormat="false" ht="15" hidden="false" customHeight="false" outlineLevel="0" collapsed="false">
      <c r="A404" s="17"/>
      <c r="B404" s="17"/>
      <c r="C404" s="20"/>
      <c r="D404" s="21"/>
      <c r="E404" s="17"/>
      <c r="F404" s="17"/>
      <c r="G404" s="17"/>
    </row>
    <row r="405" customFormat="false" ht="15" hidden="false" customHeight="false" outlineLevel="0" collapsed="false">
      <c r="A405" s="17"/>
      <c r="B405" s="17"/>
      <c r="C405" s="20"/>
      <c r="D405" s="21"/>
      <c r="E405" s="17"/>
      <c r="F405" s="17"/>
      <c r="G405" s="17"/>
    </row>
    <row r="406" customFormat="false" ht="15" hidden="false" customHeight="false" outlineLevel="0" collapsed="false">
      <c r="A406" s="17"/>
      <c r="B406" s="17"/>
      <c r="C406" s="20"/>
      <c r="D406" s="21"/>
      <c r="E406" s="17"/>
      <c r="F406" s="17"/>
      <c r="G406" s="17"/>
    </row>
    <row r="407" customFormat="false" ht="15" hidden="false" customHeight="false" outlineLevel="0" collapsed="false">
      <c r="A407" s="17"/>
      <c r="B407" s="17"/>
      <c r="C407" s="20"/>
      <c r="D407" s="21"/>
      <c r="E407" s="17"/>
      <c r="F407" s="17"/>
      <c r="G407" s="17"/>
    </row>
    <row r="408" customFormat="false" ht="15" hidden="false" customHeight="false" outlineLevel="0" collapsed="false">
      <c r="A408" s="17"/>
      <c r="B408" s="17"/>
      <c r="C408" s="20"/>
      <c r="D408" s="21"/>
      <c r="E408" s="17"/>
      <c r="F408" s="17"/>
      <c r="G408" s="17"/>
    </row>
    <row r="409" customFormat="false" ht="15" hidden="false" customHeight="false" outlineLevel="0" collapsed="false">
      <c r="A409" s="17"/>
      <c r="B409" s="17"/>
      <c r="C409" s="20"/>
      <c r="D409" s="21"/>
      <c r="E409" s="17"/>
      <c r="F409" s="17"/>
      <c r="G409" s="17"/>
    </row>
    <row r="410" customFormat="false" ht="15" hidden="false" customHeight="false" outlineLevel="0" collapsed="false">
      <c r="A410" s="17"/>
      <c r="B410" s="17"/>
      <c r="C410" s="20"/>
      <c r="D410" s="21"/>
      <c r="E410" s="17"/>
      <c r="F410" s="17"/>
      <c r="G410" s="17"/>
    </row>
    <row r="411" customFormat="false" ht="15" hidden="false" customHeight="false" outlineLevel="0" collapsed="false">
      <c r="A411" s="17"/>
      <c r="B411" s="17"/>
      <c r="C411" s="20"/>
      <c r="D411" s="21"/>
      <c r="E411" s="17"/>
      <c r="F411" s="17"/>
      <c r="G411" s="17"/>
    </row>
    <row r="412" customFormat="false" ht="15" hidden="false" customHeight="false" outlineLevel="0" collapsed="false">
      <c r="A412" s="17"/>
      <c r="B412" s="17"/>
      <c r="C412" s="20"/>
      <c r="D412" s="21"/>
      <c r="E412" s="17"/>
      <c r="F412" s="17"/>
      <c r="G412" s="17"/>
    </row>
    <row r="413" customFormat="false" ht="15" hidden="false" customHeight="false" outlineLevel="0" collapsed="false">
      <c r="A413" s="17"/>
      <c r="B413" s="17"/>
      <c r="C413" s="20"/>
      <c r="D413" s="21"/>
      <c r="E413" s="17"/>
      <c r="F413" s="17"/>
      <c r="G413" s="17"/>
    </row>
    <row r="414" customFormat="false" ht="15" hidden="false" customHeight="false" outlineLevel="0" collapsed="false">
      <c r="A414" s="17"/>
      <c r="B414" s="17"/>
      <c r="C414" s="20"/>
      <c r="D414" s="21"/>
      <c r="E414" s="17"/>
      <c r="F414" s="17"/>
      <c r="G414" s="17"/>
    </row>
    <row r="415" customFormat="false" ht="15" hidden="false" customHeight="false" outlineLevel="0" collapsed="false">
      <c r="A415" s="17"/>
      <c r="B415" s="17"/>
      <c r="C415" s="20"/>
      <c r="D415" s="21"/>
      <c r="E415" s="17"/>
      <c r="F415" s="17"/>
      <c r="G415" s="17"/>
    </row>
    <row r="416" customFormat="false" ht="15" hidden="false" customHeight="false" outlineLevel="0" collapsed="false">
      <c r="A416" s="17"/>
      <c r="B416" s="17"/>
      <c r="C416" s="20"/>
      <c r="D416" s="21"/>
      <c r="E416" s="17"/>
      <c r="F416" s="17"/>
      <c r="G416" s="17"/>
    </row>
    <row r="417" customFormat="false" ht="15" hidden="false" customHeight="false" outlineLevel="0" collapsed="false">
      <c r="A417" s="17"/>
      <c r="B417" s="17"/>
      <c r="C417" s="20"/>
      <c r="D417" s="21"/>
      <c r="E417" s="17"/>
      <c r="F417" s="17"/>
      <c r="G417" s="17"/>
    </row>
    <row r="418" customFormat="false" ht="15" hidden="false" customHeight="false" outlineLevel="0" collapsed="false">
      <c r="A418" s="17"/>
      <c r="B418" s="17"/>
      <c r="C418" s="20"/>
      <c r="D418" s="21"/>
      <c r="E418" s="17"/>
      <c r="F418" s="17"/>
      <c r="G418" s="17"/>
    </row>
    <row r="419" customFormat="false" ht="15" hidden="false" customHeight="false" outlineLevel="0" collapsed="false">
      <c r="A419" s="17"/>
      <c r="B419" s="17"/>
      <c r="C419" s="20"/>
      <c r="D419" s="21"/>
      <c r="E419" s="17"/>
      <c r="F419" s="17"/>
      <c r="G419" s="17"/>
    </row>
    <row r="420" customFormat="false" ht="15" hidden="false" customHeight="false" outlineLevel="0" collapsed="false">
      <c r="A420" s="17"/>
      <c r="B420" s="17"/>
      <c r="C420" s="20"/>
      <c r="D420" s="21"/>
      <c r="E420" s="17"/>
      <c r="F420" s="17"/>
      <c r="G420" s="17"/>
    </row>
    <row r="421" customFormat="false" ht="15" hidden="false" customHeight="false" outlineLevel="0" collapsed="false">
      <c r="A421" s="17"/>
      <c r="B421" s="17"/>
      <c r="C421" s="20"/>
      <c r="D421" s="21"/>
      <c r="E421" s="17"/>
      <c r="F421" s="17"/>
      <c r="G421" s="17"/>
    </row>
    <row r="422" customFormat="false" ht="15" hidden="false" customHeight="false" outlineLevel="0" collapsed="false">
      <c r="A422" s="17"/>
      <c r="B422" s="17"/>
      <c r="C422" s="20"/>
      <c r="D422" s="21"/>
      <c r="E422" s="17"/>
      <c r="F422" s="17"/>
      <c r="G422" s="17"/>
    </row>
    <row r="423" customFormat="false" ht="15" hidden="false" customHeight="false" outlineLevel="0" collapsed="false">
      <c r="A423" s="17"/>
      <c r="B423" s="17"/>
      <c r="C423" s="20"/>
      <c r="D423" s="21"/>
      <c r="E423" s="17"/>
      <c r="F423" s="17"/>
      <c r="G423" s="17"/>
    </row>
    <row r="424" customFormat="false" ht="15" hidden="false" customHeight="false" outlineLevel="0" collapsed="false">
      <c r="A424" s="17"/>
      <c r="B424" s="17"/>
      <c r="C424" s="20"/>
      <c r="D424" s="21"/>
      <c r="E424" s="17"/>
      <c r="F424" s="17"/>
      <c r="G424" s="17"/>
    </row>
    <row r="425" customFormat="false" ht="15" hidden="false" customHeight="false" outlineLevel="0" collapsed="false">
      <c r="A425" s="17"/>
      <c r="B425" s="17"/>
      <c r="C425" s="20"/>
      <c r="D425" s="21"/>
      <c r="E425" s="17"/>
      <c r="F425" s="17"/>
      <c r="G425" s="17"/>
    </row>
    <row r="426" customFormat="false" ht="15" hidden="false" customHeight="false" outlineLevel="0" collapsed="false">
      <c r="A426" s="17"/>
      <c r="B426" s="17"/>
      <c r="C426" s="20"/>
      <c r="D426" s="21"/>
      <c r="E426" s="17"/>
      <c r="F426" s="17"/>
      <c r="G426" s="17"/>
    </row>
    <row r="427" customFormat="false" ht="15" hidden="false" customHeight="false" outlineLevel="0" collapsed="false">
      <c r="A427" s="17"/>
      <c r="B427" s="17"/>
      <c r="C427" s="20"/>
      <c r="D427" s="21"/>
      <c r="E427" s="17"/>
      <c r="F427" s="17"/>
      <c r="G427" s="17"/>
    </row>
    <row r="428" customFormat="false" ht="15" hidden="false" customHeight="false" outlineLevel="0" collapsed="false">
      <c r="A428" s="17"/>
      <c r="B428" s="17"/>
      <c r="C428" s="20"/>
      <c r="D428" s="21"/>
      <c r="E428" s="17"/>
      <c r="F428" s="17"/>
      <c r="G428" s="17"/>
    </row>
    <row r="429" customFormat="false" ht="15" hidden="false" customHeight="false" outlineLevel="0" collapsed="false">
      <c r="A429" s="17"/>
      <c r="B429" s="17"/>
      <c r="C429" s="20"/>
      <c r="D429" s="21"/>
      <c r="E429" s="17"/>
      <c r="F429" s="17"/>
      <c r="G429" s="17"/>
    </row>
    <row r="430" customFormat="false" ht="15" hidden="false" customHeight="false" outlineLevel="0" collapsed="false">
      <c r="A430" s="17"/>
      <c r="B430" s="17"/>
      <c r="C430" s="20"/>
      <c r="D430" s="21"/>
      <c r="E430" s="17"/>
      <c r="F430" s="17"/>
      <c r="G430" s="17"/>
    </row>
    <row r="431" customFormat="false" ht="15" hidden="false" customHeight="false" outlineLevel="0" collapsed="false">
      <c r="A431" s="17"/>
      <c r="B431" s="17"/>
      <c r="C431" s="20"/>
      <c r="D431" s="21"/>
      <c r="E431" s="17"/>
      <c r="F431" s="17"/>
      <c r="G431" s="17"/>
    </row>
    <row r="432" customFormat="false" ht="15" hidden="false" customHeight="false" outlineLevel="0" collapsed="false">
      <c r="A432" s="17"/>
      <c r="B432" s="17"/>
      <c r="C432" s="20"/>
      <c r="D432" s="21"/>
      <c r="E432" s="17"/>
      <c r="F432" s="17"/>
      <c r="G432" s="17"/>
    </row>
    <row r="433" customFormat="false" ht="15" hidden="false" customHeight="false" outlineLevel="0" collapsed="false">
      <c r="A433" s="17"/>
      <c r="B433" s="17"/>
      <c r="C433" s="20"/>
      <c r="D433" s="21"/>
      <c r="E433" s="17"/>
      <c r="F433" s="17"/>
      <c r="G433" s="17"/>
    </row>
    <row r="434" customFormat="false" ht="15" hidden="false" customHeight="false" outlineLevel="0" collapsed="false">
      <c r="A434" s="17"/>
      <c r="B434" s="17"/>
      <c r="C434" s="20"/>
      <c r="D434" s="21"/>
      <c r="E434" s="17"/>
      <c r="F434" s="17"/>
      <c r="G434" s="17"/>
    </row>
    <row r="435" customFormat="false" ht="15" hidden="false" customHeight="false" outlineLevel="0" collapsed="false">
      <c r="A435" s="17"/>
      <c r="B435" s="17"/>
      <c r="C435" s="20"/>
      <c r="D435" s="21"/>
      <c r="E435" s="17"/>
      <c r="F435" s="17"/>
      <c r="G435" s="17"/>
    </row>
    <row r="436" customFormat="false" ht="15" hidden="false" customHeight="false" outlineLevel="0" collapsed="false">
      <c r="A436" s="17"/>
      <c r="B436" s="17"/>
      <c r="C436" s="20"/>
      <c r="D436" s="21"/>
      <c r="E436" s="17"/>
      <c r="F436" s="17"/>
      <c r="G436" s="17"/>
    </row>
    <row r="437" customFormat="false" ht="15" hidden="false" customHeight="false" outlineLevel="0" collapsed="false">
      <c r="A437" s="17"/>
      <c r="B437" s="17"/>
      <c r="C437" s="20"/>
      <c r="D437" s="21"/>
      <c r="E437" s="17"/>
      <c r="F437" s="17"/>
      <c r="G437" s="17"/>
    </row>
    <row r="438" customFormat="false" ht="15" hidden="false" customHeight="false" outlineLevel="0" collapsed="false">
      <c r="A438" s="17"/>
      <c r="B438" s="17"/>
      <c r="C438" s="20"/>
      <c r="D438" s="21"/>
      <c r="E438" s="17"/>
      <c r="F438" s="17"/>
      <c r="G438" s="17"/>
    </row>
    <row r="439" customFormat="false" ht="15" hidden="false" customHeight="false" outlineLevel="0" collapsed="false">
      <c r="A439" s="17"/>
      <c r="B439" s="17"/>
      <c r="C439" s="20"/>
      <c r="D439" s="21"/>
      <c r="E439" s="17"/>
      <c r="F439" s="17"/>
      <c r="G439" s="17"/>
    </row>
    <row r="440" customFormat="false" ht="15" hidden="false" customHeight="false" outlineLevel="0" collapsed="false">
      <c r="A440" s="17"/>
      <c r="B440" s="17"/>
      <c r="C440" s="20"/>
      <c r="D440" s="21"/>
      <c r="E440" s="17"/>
      <c r="F440" s="17"/>
      <c r="G440" s="17"/>
    </row>
    <row r="441" customFormat="false" ht="15" hidden="false" customHeight="false" outlineLevel="0" collapsed="false">
      <c r="A441" s="17"/>
      <c r="B441" s="17"/>
      <c r="C441" s="20"/>
      <c r="D441" s="21"/>
      <c r="E441" s="17"/>
      <c r="F441" s="17"/>
      <c r="G441" s="17"/>
    </row>
    <row r="442" customFormat="false" ht="15" hidden="false" customHeight="false" outlineLevel="0" collapsed="false">
      <c r="A442" s="17"/>
      <c r="B442" s="17"/>
      <c r="C442" s="20"/>
      <c r="D442" s="21"/>
      <c r="E442" s="17"/>
      <c r="F442" s="17"/>
      <c r="G442" s="17"/>
    </row>
    <row r="443" customFormat="false" ht="15" hidden="false" customHeight="false" outlineLevel="0" collapsed="false">
      <c r="A443" s="17"/>
      <c r="B443" s="17"/>
      <c r="C443" s="20"/>
      <c r="D443" s="21"/>
      <c r="E443" s="17"/>
      <c r="F443" s="17"/>
      <c r="G443" s="17"/>
    </row>
    <row r="444" customFormat="false" ht="15" hidden="false" customHeight="false" outlineLevel="0" collapsed="false">
      <c r="A444" s="17"/>
      <c r="B444" s="17"/>
      <c r="C444" s="20"/>
      <c r="D444" s="21"/>
      <c r="E444" s="17"/>
      <c r="F444" s="17"/>
      <c r="G444" s="17"/>
    </row>
    <row r="445" customFormat="false" ht="15" hidden="false" customHeight="false" outlineLevel="0" collapsed="false">
      <c r="A445" s="17"/>
      <c r="B445" s="17"/>
      <c r="C445" s="20"/>
      <c r="D445" s="21"/>
      <c r="E445" s="17"/>
      <c r="F445" s="17"/>
      <c r="G445" s="17"/>
    </row>
    <row r="446" customFormat="false" ht="15" hidden="false" customHeight="false" outlineLevel="0" collapsed="false">
      <c r="A446" s="17"/>
      <c r="B446" s="17"/>
      <c r="C446" s="20"/>
      <c r="D446" s="21"/>
      <c r="E446" s="17"/>
      <c r="F446" s="17"/>
      <c r="G446" s="17"/>
    </row>
    <row r="447" customFormat="false" ht="15" hidden="false" customHeight="false" outlineLevel="0" collapsed="false">
      <c r="A447" s="17"/>
      <c r="B447" s="17"/>
      <c r="C447" s="20"/>
      <c r="D447" s="21"/>
      <c r="E447" s="17"/>
      <c r="F447" s="17"/>
      <c r="G447" s="17"/>
    </row>
    <row r="448" customFormat="false" ht="15" hidden="false" customHeight="false" outlineLevel="0" collapsed="false">
      <c r="A448" s="17"/>
      <c r="B448" s="17"/>
      <c r="C448" s="20"/>
      <c r="D448" s="21"/>
      <c r="E448" s="17"/>
      <c r="F448" s="17"/>
      <c r="G448" s="17"/>
    </row>
    <row r="449" customFormat="false" ht="15" hidden="false" customHeight="false" outlineLevel="0" collapsed="false">
      <c r="A449" s="17"/>
      <c r="B449" s="17"/>
      <c r="C449" s="20"/>
      <c r="D449" s="21"/>
      <c r="E449" s="17"/>
      <c r="F449" s="17"/>
      <c r="G449" s="17"/>
    </row>
    <row r="450" customFormat="false" ht="15" hidden="false" customHeight="false" outlineLevel="0" collapsed="false">
      <c r="A450" s="17"/>
      <c r="B450" s="17"/>
      <c r="C450" s="20"/>
      <c r="D450" s="21"/>
      <c r="E450" s="17"/>
      <c r="F450" s="17"/>
      <c r="G450" s="17"/>
    </row>
    <row r="451" customFormat="false" ht="15" hidden="false" customHeight="false" outlineLevel="0" collapsed="false">
      <c r="A451" s="17"/>
      <c r="B451" s="17"/>
      <c r="C451" s="20"/>
      <c r="D451" s="21"/>
      <c r="E451" s="17"/>
      <c r="F451" s="17"/>
      <c r="G451" s="17"/>
    </row>
    <row r="452" customFormat="false" ht="15" hidden="false" customHeight="false" outlineLevel="0" collapsed="false">
      <c r="A452" s="17"/>
      <c r="B452" s="17"/>
      <c r="C452" s="20"/>
      <c r="D452" s="21"/>
      <c r="E452" s="17"/>
      <c r="F452" s="17"/>
      <c r="G452" s="17"/>
    </row>
    <row r="453" customFormat="false" ht="15" hidden="false" customHeight="false" outlineLevel="0" collapsed="false">
      <c r="A453" s="17"/>
      <c r="B453" s="17"/>
      <c r="C453" s="20"/>
      <c r="D453" s="21"/>
      <c r="E453" s="17"/>
      <c r="F453" s="17"/>
      <c r="G453" s="17"/>
    </row>
    <row r="454" customFormat="false" ht="15" hidden="false" customHeight="false" outlineLevel="0" collapsed="false">
      <c r="A454" s="17"/>
      <c r="B454" s="17"/>
      <c r="C454" s="20"/>
      <c r="D454" s="21"/>
      <c r="E454" s="17"/>
      <c r="F454" s="17"/>
      <c r="G454" s="17"/>
    </row>
    <row r="455" customFormat="false" ht="15" hidden="false" customHeight="false" outlineLevel="0" collapsed="false">
      <c r="A455" s="17"/>
      <c r="B455" s="17"/>
      <c r="C455" s="20"/>
      <c r="D455" s="21"/>
      <c r="E455" s="17"/>
      <c r="F455" s="17"/>
      <c r="G455" s="17"/>
    </row>
    <row r="456" customFormat="false" ht="15" hidden="false" customHeight="false" outlineLevel="0" collapsed="false">
      <c r="A456" s="17"/>
      <c r="B456" s="17"/>
      <c r="C456" s="20"/>
      <c r="D456" s="21"/>
      <c r="E456" s="17"/>
      <c r="F456" s="17"/>
      <c r="G456" s="17"/>
    </row>
    <row r="457" customFormat="false" ht="15" hidden="false" customHeight="false" outlineLevel="0" collapsed="false">
      <c r="A457" s="17"/>
      <c r="B457" s="17"/>
      <c r="C457" s="20"/>
      <c r="D457" s="21"/>
      <c r="E457" s="17"/>
      <c r="F457" s="17"/>
      <c r="G457" s="17"/>
    </row>
    <row r="458" customFormat="false" ht="15" hidden="false" customHeight="false" outlineLevel="0" collapsed="false">
      <c r="A458" s="17"/>
      <c r="B458" s="17"/>
      <c r="C458" s="20"/>
      <c r="D458" s="21"/>
      <c r="E458" s="17"/>
      <c r="F458" s="17"/>
      <c r="G458" s="17"/>
    </row>
    <row r="459" customFormat="false" ht="15" hidden="false" customHeight="false" outlineLevel="0" collapsed="false">
      <c r="A459" s="17"/>
      <c r="B459" s="17"/>
      <c r="C459" s="20"/>
      <c r="D459" s="21"/>
      <c r="E459" s="17"/>
      <c r="F459" s="17"/>
      <c r="G459" s="17"/>
    </row>
    <row r="460" customFormat="false" ht="15" hidden="false" customHeight="false" outlineLevel="0" collapsed="false">
      <c r="A460" s="17"/>
      <c r="B460" s="17"/>
      <c r="C460" s="20"/>
      <c r="D460" s="21"/>
      <c r="E460" s="17"/>
      <c r="F460" s="17"/>
      <c r="G460" s="17"/>
    </row>
    <row r="461" customFormat="false" ht="15" hidden="false" customHeight="false" outlineLevel="0" collapsed="false">
      <c r="A461" s="17"/>
      <c r="B461" s="17"/>
      <c r="C461" s="20"/>
      <c r="D461" s="21"/>
      <c r="E461" s="17"/>
      <c r="F461" s="17"/>
      <c r="G461" s="17"/>
    </row>
    <row r="462" customFormat="false" ht="15" hidden="false" customHeight="false" outlineLevel="0" collapsed="false">
      <c r="A462" s="17"/>
      <c r="B462" s="17"/>
      <c r="C462" s="20"/>
      <c r="D462" s="21"/>
      <c r="E462" s="17"/>
      <c r="F462" s="17"/>
      <c r="G462" s="17"/>
    </row>
    <row r="463" customFormat="false" ht="15" hidden="false" customHeight="false" outlineLevel="0" collapsed="false">
      <c r="A463" s="17"/>
      <c r="B463" s="17"/>
      <c r="C463" s="20"/>
      <c r="D463" s="21"/>
      <c r="E463" s="17"/>
      <c r="F463" s="17"/>
      <c r="G463" s="17"/>
    </row>
    <row r="464" customFormat="false" ht="15" hidden="false" customHeight="false" outlineLevel="0" collapsed="false">
      <c r="A464" s="17"/>
      <c r="B464" s="17"/>
      <c r="C464" s="20"/>
      <c r="D464" s="21"/>
      <c r="E464" s="17"/>
      <c r="F464" s="17"/>
      <c r="G464" s="17"/>
    </row>
    <row r="465" customFormat="false" ht="15" hidden="false" customHeight="false" outlineLevel="0" collapsed="false">
      <c r="A465" s="17"/>
      <c r="B465" s="17"/>
      <c r="C465" s="20"/>
      <c r="D465" s="21"/>
      <c r="E465" s="17"/>
      <c r="F465" s="17"/>
      <c r="G465" s="17"/>
    </row>
    <row r="466" customFormat="false" ht="15" hidden="false" customHeight="false" outlineLevel="0" collapsed="false">
      <c r="A466" s="17"/>
      <c r="B466" s="17"/>
      <c r="C466" s="20"/>
      <c r="D466" s="21"/>
      <c r="E466" s="17"/>
      <c r="F466" s="17"/>
      <c r="G466" s="17"/>
    </row>
    <row r="467" customFormat="false" ht="15" hidden="false" customHeight="false" outlineLevel="0" collapsed="false">
      <c r="A467" s="17"/>
      <c r="B467" s="17"/>
      <c r="C467" s="20"/>
      <c r="D467" s="21"/>
      <c r="E467" s="17"/>
      <c r="F467" s="17"/>
      <c r="G467" s="17"/>
    </row>
    <row r="468" customFormat="false" ht="15" hidden="false" customHeight="false" outlineLevel="0" collapsed="false">
      <c r="A468" s="17"/>
      <c r="B468" s="17"/>
      <c r="C468" s="20"/>
      <c r="D468" s="21"/>
      <c r="E468" s="17"/>
      <c r="F468" s="17"/>
      <c r="G468" s="17"/>
    </row>
    <row r="469" customFormat="false" ht="15" hidden="false" customHeight="false" outlineLevel="0" collapsed="false">
      <c r="A469" s="17"/>
      <c r="B469" s="17"/>
      <c r="C469" s="20"/>
      <c r="D469" s="21"/>
      <c r="E469" s="17"/>
      <c r="F469" s="17"/>
      <c r="G469" s="17"/>
    </row>
    <row r="470" customFormat="false" ht="15" hidden="false" customHeight="false" outlineLevel="0" collapsed="false">
      <c r="A470" s="17"/>
      <c r="B470" s="17"/>
      <c r="C470" s="20"/>
      <c r="D470" s="21"/>
      <c r="E470" s="17"/>
      <c r="F470" s="17"/>
      <c r="G470" s="17"/>
    </row>
    <row r="471" customFormat="false" ht="15" hidden="false" customHeight="false" outlineLevel="0" collapsed="false">
      <c r="A471" s="17"/>
      <c r="B471" s="17"/>
      <c r="C471" s="20"/>
      <c r="D471" s="21"/>
      <c r="E471" s="17"/>
      <c r="F471" s="17"/>
      <c r="G471" s="17"/>
    </row>
    <row r="472" customFormat="false" ht="15" hidden="false" customHeight="false" outlineLevel="0" collapsed="false">
      <c r="A472" s="17"/>
      <c r="B472" s="17"/>
      <c r="C472" s="20"/>
      <c r="D472" s="21"/>
      <c r="E472" s="17"/>
      <c r="F472" s="17"/>
      <c r="G472" s="17"/>
    </row>
    <row r="473" customFormat="false" ht="15" hidden="false" customHeight="false" outlineLevel="0" collapsed="false">
      <c r="A473" s="17"/>
      <c r="B473" s="17"/>
      <c r="C473" s="20"/>
      <c r="D473" s="21"/>
      <c r="E473" s="17"/>
      <c r="F473" s="17"/>
      <c r="G473" s="17"/>
    </row>
    <row r="474" customFormat="false" ht="15" hidden="false" customHeight="false" outlineLevel="0" collapsed="false">
      <c r="A474" s="17"/>
      <c r="B474" s="17"/>
      <c r="C474" s="20"/>
      <c r="D474" s="21"/>
      <c r="E474" s="17"/>
      <c r="F474" s="17"/>
      <c r="G474" s="17"/>
    </row>
    <row r="475" customFormat="false" ht="15" hidden="false" customHeight="false" outlineLevel="0" collapsed="false">
      <c r="A475" s="17"/>
      <c r="B475" s="17"/>
      <c r="C475" s="20"/>
      <c r="D475" s="21"/>
      <c r="E475" s="17"/>
      <c r="F475" s="17"/>
      <c r="G475" s="17"/>
    </row>
    <row r="476" customFormat="false" ht="15" hidden="false" customHeight="false" outlineLevel="0" collapsed="false">
      <c r="A476" s="17"/>
      <c r="B476" s="17"/>
      <c r="C476" s="20"/>
      <c r="D476" s="21"/>
      <c r="E476" s="17"/>
      <c r="F476" s="17"/>
      <c r="G476" s="17"/>
    </row>
    <row r="477" customFormat="false" ht="15" hidden="false" customHeight="false" outlineLevel="0" collapsed="false">
      <c r="A477" s="17"/>
      <c r="B477" s="17"/>
      <c r="C477" s="20"/>
      <c r="D477" s="21"/>
      <c r="E477" s="17"/>
      <c r="F477" s="17"/>
      <c r="G477" s="17"/>
    </row>
    <row r="478" customFormat="false" ht="15" hidden="false" customHeight="false" outlineLevel="0" collapsed="false">
      <c r="A478" s="17"/>
      <c r="B478" s="17"/>
      <c r="C478" s="20"/>
      <c r="D478" s="21"/>
      <c r="E478" s="17"/>
      <c r="F478" s="17"/>
      <c r="G478" s="17"/>
    </row>
    <row r="479" customFormat="false" ht="15" hidden="false" customHeight="false" outlineLevel="0" collapsed="false">
      <c r="A479" s="17"/>
      <c r="B479" s="17"/>
      <c r="C479" s="20"/>
      <c r="D479" s="21"/>
      <c r="E479" s="17"/>
      <c r="F479" s="17"/>
      <c r="G479" s="17"/>
    </row>
    <row r="480" customFormat="false" ht="15" hidden="false" customHeight="false" outlineLevel="0" collapsed="false">
      <c r="A480" s="17"/>
      <c r="B480" s="17"/>
      <c r="C480" s="20"/>
      <c r="D480" s="21"/>
      <c r="E480" s="17"/>
      <c r="F480" s="17"/>
      <c r="G480" s="17"/>
    </row>
    <row r="481" customFormat="false" ht="15" hidden="false" customHeight="false" outlineLevel="0" collapsed="false">
      <c r="A481" s="17"/>
      <c r="B481" s="17"/>
      <c r="C481" s="20"/>
      <c r="D481" s="21"/>
      <c r="E481" s="17"/>
      <c r="F481" s="17"/>
      <c r="G481" s="17"/>
    </row>
    <row r="482" customFormat="false" ht="15" hidden="false" customHeight="false" outlineLevel="0" collapsed="false">
      <c r="A482" s="17"/>
      <c r="B482" s="17"/>
      <c r="C482" s="20"/>
      <c r="D482" s="21"/>
      <c r="E482" s="17"/>
      <c r="F482" s="17"/>
      <c r="G482" s="17"/>
    </row>
    <row r="483" customFormat="false" ht="15" hidden="false" customHeight="false" outlineLevel="0" collapsed="false">
      <c r="A483" s="17"/>
      <c r="B483" s="17"/>
      <c r="C483" s="20"/>
      <c r="D483" s="21"/>
      <c r="E483" s="17"/>
      <c r="F483" s="17"/>
      <c r="G483" s="17"/>
    </row>
    <row r="484" customFormat="false" ht="15" hidden="false" customHeight="false" outlineLevel="0" collapsed="false">
      <c r="A484" s="17"/>
      <c r="B484" s="17"/>
      <c r="C484" s="20"/>
      <c r="D484" s="21"/>
      <c r="E484" s="17"/>
      <c r="F484" s="17"/>
      <c r="G484" s="17"/>
    </row>
    <row r="485" customFormat="false" ht="15" hidden="false" customHeight="false" outlineLevel="0" collapsed="false">
      <c r="A485" s="17"/>
      <c r="B485" s="17"/>
      <c r="C485" s="20"/>
      <c r="D485" s="21"/>
      <c r="E485" s="17"/>
      <c r="F485" s="17"/>
      <c r="G485" s="17"/>
    </row>
    <row r="486" customFormat="false" ht="15" hidden="false" customHeight="false" outlineLevel="0" collapsed="false">
      <c r="A486" s="17"/>
      <c r="B486" s="17"/>
      <c r="C486" s="20"/>
      <c r="D486" s="21"/>
      <c r="E486" s="17"/>
      <c r="F486" s="17"/>
      <c r="G486" s="17"/>
    </row>
    <row r="487" customFormat="false" ht="15" hidden="false" customHeight="false" outlineLevel="0" collapsed="false">
      <c r="A487" s="17"/>
      <c r="B487" s="17"/>
      <c r="C487" s="20"/>
      <c r="D487" s="21"/>
      <c r="E487" s="17"/>
      <c r="F487" s="17"/>
      <c r="G487" s="17"/>
    </row>
    <row r="488" customFormat="false" ht="15" hidden="false" customHeight="false" outlineLevel="0" collapsed="false">
      <c r="A488" s="17"/>
      <c r="B488" s="17"/>
      <c r="C488" s="20"/>
      <c r="D488" s="21"/>
      <c r="E488" s="17"/>
      <c r="F488" s="17"/>
      <c r="G488" s="17"/>
    </row>
    <row r="489" customFormat="false" ht="15" hidden="false" customHeight="false" outlineLevel="0" collapsed="false">
      <c r="A489" s="17"/>
      <c r="B489" s="17"/>
      <c r="C489" s="20"/>
      <c r="D489" s="21"/>
      <c r="E489" s="17"/>
      <c r="F489" s="17"/>
      <c r="G489" s="17"/>
    </row>
    <row r="490" customFormat="false" ht="15" hidden="false" customHeight="false" outlineLevel="0" collapsed="false">
      <c r="A490" s="17"/>
      <c r="B490" s="17"/>
      <c r="C490" s="20"/>
      <c r="D490" s="21"/>
      <c r="E490" s="17"/>
      <c r="F490" s="17"/>
      <c r="G490" s="17"/>
    </row>
    <row r="491" customFormat="false" ht="15" hidden="false" customHeight="false" outlineLevel="0" collapsed="false">
      <c r="A491" s="17"/>
      <c r="B491" s="17"/>
      <c r="C491" s="20"/>
      <c r="D491" s="21"/>
      <c r="E491" s="17"/>
      <c r="F491" s="17"/>
      <c r="G491" s="17"/>
    </row>
    <row r="492" customFormat="false" ht="15" hidden="false" customHeight="false" outlineLevel="0" collapsed="false">
      <c r="A492" s="17"/>
      <c r="B492" s="17"/>
      <c r="C492" s="20"/>
      <c r="D492" s="21"/>
      <c r="E492" s="17"/>
      <c r="F492" s="17"/>
      <c r="G492" s="17"/>
    </row>
    <row r="493" customFormat="false" ht="15" hidden="false" customHeight="false" outlineLevel="0" collapsed="false">
      <c r="A493" s="17"/>
      <c r="B493" s="17"/>
      <c r="C493" s="20"/>
      <c r="D493" s="21"/>
      <c r="E493" s="17"/>
      <c r="F493" s="17"/>
      <c r="G493" s="17"/>
    </row>
    <row r="494" customFormat="false" ht="15" hidden="false" customHeight="false" outlineLevel="0" collapsed="false">
      <c r="A494" s="17"/>
      <c r="B494" s="17"/>
      <c r="C494" s="20"/>
      <c r="D494" s="21"/>
      <c r="E494" s="17"/>
      <c r="F494" s="17"/>
      <c r="G494" s="17"/>
    </row>
    <row r="495" customFormat="false" ht="15" hidden="false" customHeight="false" outlineLevel="0" collapsed="false">
      <c r="A495" s="17"/>
      <c r="B495" s="17"/>
      <c r="C495" s="20"/>
      <c r="D495" s="21"/>
      <c r="E495" s="17"/>
      <c r="F495" s="17"/>
      <c r="G495" s="17"/>
    </row>
    <row r="496" customFormat="false" ht="15" hidden="false" customHeight="false" outlineLevel="0" collapsed="false">
      <c r="A496" s="17"/>
      <c r="B496" s="17"/>
      <c r="C496" s="20"/>
      <c r="D496" s="21"/>
      <c r="E496" s="17"/>
      <c r="F496" s="17"/>
      <c r="G496" s="17"/>
    </row>
    <row r="497" customFormat="false" ht="15" hidden="false" customHeight="false" outlineLevel="0" collapsed="false">
      <c r="A497" s="17"/>
      <c r="B497" s="17"/>
      <c r="C497" s="20"/>
      <c r="D497" s="21"/>
      <c r="E497" s="17"/>
      <c r="F497" s="17"/>
      <c r="G497" s="17"/>
    </row>
    <row r="498" customFormat="false" ht="15" hidden="false" customHeight="false" outlineLevel="0" collapsed="false">
      <c r="A498" s="17"/>
      <c r="B498" s="17"/>
      <c r="C498" s="20"/>
      <c r="D498" s="21"/>
      <c r="E498" s="17"/>
      <c r="F498" s="17"/>
      <c r="G498" s="17"/>
    </row>
    <row r="499" customFormat="false" ht="15" hidden="false" customHeight="false" outlineLevel="0" collapsed="false">
      <c r="A499" s="17"/>
      <c r="B499" s="17"/>
      <c r="C499" s="20"/>
      <c r="D499" s="21"/>
      <c r="E499" s="17"/>
      <c r="F499" s="17"/>
      <c r="G499" s="17"/>
    </row>
    <row r="500" customFormat="false" ht="15" hidden="false" customHeight="false" outlineLevel="0" collapsed="false">
      <c r="A500" s="17"/>
      <c r="B500" s="17"/>
      <c r="C500" s="20"/>
      <c r="D500" s="21"/>
      <c r="E500" s="17"/>
      <c r="F500" s="17"/>
      <c r="G500" s="17"/>
    </row>
    <row r="501" customFormat="false" ht="15" hidden="false" customHeight="false" outlineLevel="0" collapsed="false">
      <c r="A501" s="17"/>
      <c r="B501" s="17"/>
      <c r="C501" s="20"/>
      <c r="D501" s="21"/>
      <c r="E501" s="17"/>
      <c r="F501" s="17"/>
      <c r="G50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4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28"/>
  </cols>
  <sheetData>
    <row r="1" customFormat="false" ht="30" hidden="false" customHeight="true" outlineLevel="0" collapsed="false">
      <c r="A1" s="6" t="s">
        <v>162</v>
      </c>
      <c r="B1" s="6" t="s">
        <v>13</v>
      </c>
      <c r="C1" s="6" t="s">
        <v>163</v>
      </c>
      <c r="D1" s="6" t="s">
        <v>164</v>
      </c>
      <c r="E1" s="6" t="s">
        <v>165</v>
      </c>
      <c r="F1" s="6" t="s">
        <v>122</v>
      </c>
      <c r="G1" s="6" t="s">
        <v>166</v>
      </c>
      <c r="H1" s="6" t="s">
        <v>167</v>
      </c>
      <c r="I1" s="6" t="s">
        <v>29</v>
      </c>
    </row>
    <row r="2" customFormat="false" ht="15" hidden="false" customHeight="false" outlineLevel="0" collapsed="false">
      <c r="A2" s="7" t="s">
        <v>168</v>
      </c>
      <c r="B2" s="7" t="s">
        <v>169</v>
      </c>
      <c r="C2" s="7" t="s">
        <v>170</v>
      </c>
      <c r="D2" s="7" t="s">
        <v>171</v>
      </c>
      <c r="E2" s="7" t="s">
        <v>172</v>
      </c>
      <c r="F2" s="7" t="n">
        <v>62000</v>
      </c>
      <c r="G2" s="7" t="s">
        <v>173</v>
      </c>
      <c r="H2" s="7" t="s">
        <v>174</v>
      </c>
      <c r="I2" s="19"/>
    </row>
    <row r="3" customFormat="false" ht="15" hidden="false" customHeight="false" outlineLevel="0" collapsed="false">
      <c r="A3" s="11" t="s">
        <v>175</v>
      </c>
      <c r="B3" s="12" t="n">
        <v>46027</v>
      </c>
      <c r="C3" s="11" t="s">
        <v>176</v>
      </c>
      <c r="D3" s="11" t="s">
        <v>177</v>
      </c>
      <c r="E3" s="11" t="s">
        <v>178</v>
      </c>
      <c r="F3" s="13" t="n">
        <v>13000</v>
      </c>
      <c r="G3" s="11" t="s">
        <v>173</v>
      </c>
      <c r="H3" s="11" t="s">
        <v>179</v>
      </c>
      <c r="I3" s="11"/>
    </row>
    <row r="4" customFormat="false" ht="15" hidden="false" customHeight="false" outlineLevel="0" collapsed="false">
      <c r="A4" s="11" t="s">
        <v>180</v>
      </c>
      <c r="B4" s="12" t="n">
        <v>46034</v>
      </c>
      <c r="C4" s="11" t="s">
        <v>181</v>
      </c>
      <c r="D4" s="11" t="s">
        <v>182</v>
      </c>
      <c r="E4" s="11" t="s">
        <v>183</v>
      </c>
      <c r="F4" s="13" t="n">
        <v>3600</v>
      </c>
      <c r="G4" s="11" t="s">
        <v>173</v>
      </c>
      <c r="H4" s="11" t="s">
        <v>184</v>
      </c>
      <c r="I4" s="11"/>
    </row>
    <row r="5" customFormat="false" ht="15" hidden="false" customHeight="false" outlineLevel="0" collapsed="false">
      <c r="A5" s="11" t="s">
        <v>185</v>
      </c>
      <c r="B5" s="12" t="n">
        <v>46034</v>
      </c>
      <c r="C5" s="11" t="s">
        <v>181</v>
      </c>
      <c r="D5" s="11" t="s">
        <v>186</v>
      </c>
      <c r="E5" s="11" t="s">
        <v>187</v>
      </c>
      <c r="F5" s="13" t="n">
        <v>2400</v>
      </c>
      <c r="G5" s="11" t="s">
        <v>173</v>
      </c>
      <c r="H5" s="11" t="s">
        <v>188</v>
      </c>
      <c r="I5" s="11"/>
    </row>
    <row r="6" customFormat="false" ht="15" hidden="false" customHeight="false" outlineLevel="0" collapsed="false">
      <c r="A6" s="11" t="s">
        <v>189</v>
      </c>
      <c r="B6" s="12" t="n">
        <v>46039</v>
      </c>
      <c r="C6" s="11" t="s">
        <v>170</v>
      </c>
      <c r="D6" s="11" t="s">
        <v>190</v>
      </c>
      <c r="E6" s="11" t="s">
        <v>191</v>
      </c>
      <c r="F6" s="13" t="n">
        <v>8200</v>
      </c>
      <c r="G6" s="11" t="s">
        <v>173</v>
      </c>
      <c r="H6" s="11"/>
      <c r="I6" s="11"/>
    </row>
    <row r="7" customFormat="false" ht="15" hidden="false" customHeight="false" outlineLevel="0" collapsed="false">
      <c r="A7" s="11" t="s">
        <v>192</v>
      </c>
      <c r="B7" s="12" t="n">
        <v>46042</v>
      </c>
      <c r="C7" s="11" t="s">
        <v>193</v>
      </c>
      <c r="D7" s="11" t="s">
        <v>194</v>
      </c>
      <c r="E7" s="11" t="s">
        <v>195</v>
      </c>
      <c r="F7" s="13" t="n">
        <v>4800</v>
      </c>
      <c r="G7" s="11" t="s">
        <v>173</v>
      </c>
      <c r="H7" s="11" t="s">
        <v>196</v>
      </c>
      <c r="I7" s="11"/>
    </row>
    <row r="8" customFormat="false" ht="15" hidden="false" customHeight="false" outlineLevel="0" collapsed="false">
      <c r="A8" s="11" t="s">
        <v>197</v>
      </c>
      <c r="B8" s="12" t="n">
        <v>46044</v>
      </c>
      <c r="C8" s="11" t="s">
        <v>198</v>
      </c>
      <c r="D8" s="11" t="s">
        <v>199</v>
      </c>
      <c r="E8" s="11" t="s">
        <v>200</v>
      </c>
      <c r="F8" s="13" t="n">
        <v>8400</v>
      </c>
      <c r="G8" s="11" t="s">
        <v>201</v>
      </c>
      <c r="H8" s="11"/>
      <c r="I8" s="11"/>
    </row>
    <row r="9" customFormat="false" ht="15" hidden="false" customHeight="false" outlineLevel="0" collapsed="false">
      <c r="A9" s="11" t="s">
        <v>202</v>
      </c>
      <c r="B9" s="12" t="n">
        <v>46050</v>
      </c>
      <c r="C9" s="11" t="s">
        <v>170</v>
      </c>
      <c r="D9" s="11" t="s">
        <v>171</v>
      </c>
      <c r="E9" s="11" t="s">
        <v>203</v>
      </c>
      <c r="F9" s="13" t="n">
        <v>38000</v>
      </c>
      <c r="G9" s="11" t="s">
        <v>173</v>
      </c>
      <c r="H9" s="11"/>
      <c r="I9" s="11"/>
    </row>
    <row r="10" customFormat="false" ht="15" hidden="false" customHeight="false" outlineLevel="0" collapsed="false">
      <c r="A10" s="11" t="s">
        <v>204</v>
      </c>
      <c r="B10" s="12" t="n">
        <v>46052</v>
      </c>
      <c r="C10" s="11" t="s">
        <v>205</v>
      </c>
      <c r="D10" s="11" t="s">
        <v>206</v>
      </c>
      <c r="E10" s="11" t="s">
        <v>207</v>
      </c>
      <c r="F10" s="13" t="n">
        <v>1200</v>
      </c>
      <c r="G10" s="11" t="s">
        <v>173</v>
      </c>
      <c r="H10" s="11" t="s">
        <v>208</v>
      </c>
      <c r="I10" s="11"/>
    </row>
    <row r="11" customFormat="false" ht="15" hidden="false" customHeight="false" outlineLevel="0" collapsed="false">
      <c r="A11" s="11" t="s">
        <v>209</v>
      </c>
      <c r="B11" s="12" t="n">
        <v>46052</v>
      </c>
      <c r="C11" s="11" t="s">
        <v>210</v>
      </c>
      <c r="D11" s="11" t="s">
        <v>211</v>
      </c>
      <c r="E11" s="11" t="s">
        <v>212</v>
      </c>
      <c r="F11" s="13" t="n">
        <v>14500</v>
      </c>
      <c r="G11" s="11" t="s">
        <v>201</v>
      </c>
      <c r="H11" s="11" t="s">
        <v>213</v>
      </c>
      <c r="I11" s="11"/>
    </row>
    <row r="12" customFormat="false" ht="15" hidden="false" customHeight="false" outlineLevel="0" collapsed="false">
      <c r="A12" s="11" t="s">
        <v>214</v>
      </c>
      <c r="B12" s="12" t="n">
        <v>46058</v>
      </c>
      <c r="C12" s="11" t="s">
        <v>176</v>
      </c>
      <c r="D12" s="11" t="s">
        <v>177</v>
      </c>
      <c r="E12" s="11" t="s">
        <v>178</v>
      </c>
      <c r="F12" s="13" t="n">
        <v>13000</v>
      </c>
      <c r="G12" s="11" t="s">
        <v>173</v>
      </c>
      <c r="H12" s="11" t="s">
        <v>179</v>
      </c>
      <c r="I12" s="11"/>
    </row>
    <row r="13" customFormat="false" ht="15" hidden="false" customHeight="false" outlineLevel="0" collapsed="false">
      <c r="A13" s="11" t="s">
        <v>215</v>
      </c>
      <c r="B13" s="12" t="n">
        <v>46064</v>
      </c>
      <c r="C13" s="11" t="s">
        <v>216</v>
      </c>
      <c r="D13" s="11" t="s">
        <v>217</v>
      </c>
      <c r="E13" s="11" t="s">
        <v>218</v>
      </c>
      <c r="F13" s="13" t="n">
        <v>62000</v>
      </c>
      <c r="G13" s="11" t="s">
        <v>201</v>
      </c>
      <c r="H13" s="11" t="s">
        <v>219</v>
      </c>
      <c r="I13" s="11"/>
    </row>
    <row r="14" customFormat="false" ht="15" hidden="false" customHeight="false" outlineLevel="0" collapsed="false">
      <c r="A14" s="11" t="s">
        <v>220</v>
      </c>
      <c r="B14" s="12" t="n">
        <v>46064</v>
      </c>
      <c r="C14" s="11" t="s">
        <v>216</v>
      </c>
      <c r="D14" s="11" t="s">
        <v>221</v>
      </c>
      <c r="E14" s="11" t="s">
        <v>222</v>
      </c>
      <c r="F14" s="13" t="n">
        <v>23500</v>
      </c>
      <c r="G14" s="11" t="s">
        <v>201</v>
      </c>
      <c r="H14" s="11" t="s">
        <v>223</v>
      </c>
      <c r="I14" s="11"/>
    </row>
    <row r="15" customFormat="false" ht="15" hidden="false" customHeight="false" outlineLevel="0" collapsed="false">
      <c r="A15" s="11" t="s">
        <v>224</v>
      </c>
      <c r="B15" s="12" t="n">
        <v>46065</v>
      </c>
      <c r="C15" s="11" t="s">
        <v>181</v>
      </c>
      <c r="D15" s="11" t="s">
        <v>182</v>
      </c>
      <c r="E15" s="11" t="s">
        <v>183</v>
      </c>
      <c r="F15" s="13" t="n">
        <v>3600</v>
      </c>
      <c r="G15" s="11" t="s">
        <v>173</v>
      </c>
      <c r="H15" s="11" t="s">
        <v>184</v>
      </c>
      <c r="I15" s="11"/>
    </row>
    <row r="16" customFormat="false" ht="15" hidden="false" customHeight="false" outlineLevel="0" collapsed="false">
      <c r="A16" s="11" t="s">
        <v>225</v>
      </c>
      <c r="B16" s="12" t="n">
        <v>46065</v>
      </c>
      <c r="C16" s="11" t="s">
        <v>181</v>
      </c>
      <c r="D16" s="11" t="s">
        <v>186</v>
      </c>
      <c r="E16" s="11" t="s">
        <v>187</v>
      </c>
      <c r="F16" s="13" t="n">
        <v>2400</v>
      </c>
      <c r="G16" s="11" t="s">
        <v>173</v>
      </c>
      <c r="H16" s="11" t="s">
        <v>188</v>
      </c>
      <c r="I16" s="11"/>
    </row>
    <row r="17" customFormat="false" ht="15" hidden="false" customHeight="false" outlineLevel="0" collapsed="false">
      <c r="A17" s="11" t="s">
        <v>226</v>
      </c>
      <c r="B17" s="12" t="n">
        <v>46070</v>
      </c>
      <c r="C17" s="11" t="s">
        <v>170</v>
      </c>
      <c r="D17" s="11" t="s">
        <v>190</v>
      </c>
      <c r="E17" s="11" t="s">
        <v>191</v>
      </c>
      <c r="F17" s="13" t="n">
        <v>8200</v>
      </c>
      <c r="G17" s="11" t="s">
        <v>173</v>
      </c>
      <c r="H17" s="11"/>
      <c r="I17" s="11"/>
    </row>
    <row r="18" customFormat="false" ht="15" hidden="false" customHeight="false" outlineLevel="0" collapsed="false">
      <c r="A18" s="11" t="s">
        <v>227</v>
      </c>
      <c r="B18" s="12" t="n">
        <v>46073</v>
      </c>
      <c r="C18" s="11" t="s">
        <v>193</v>
      </c>
      <c r="D18" s="11" t="s">
        <v>194</v>
      </c>
      <c r="E18" s="11" t="s">
        <v>195</v>
      </c>
      <c r="F18" s="13" t="n">
        <v>4800</v>
      </c>
      <c r="G18" s="11" t="s">
        <v>173</v>
      </c>
      <c r="H18" s="11" t="s">
        <v>196</v>
      </c>
      <c r="I18" s="11"/>
    </row>
    <row r="19" customFormat="false" ht="15" hidden="false" customHeight="false" outlineLevel="0" collapsed="false">
      <c r="A19" s="11" t="s">
        <v>228</v>
      </c>
      <c r="B19" s="12" t="n">
        <v>46079</v>
      </c>
      <c r="C19" s="11" t="s">
        <v>210</v>
      </c>
      <c r="D19" s="11" t="s">
        <v>229</v>
      </c>
      <c r="E19" s="11" t="s">
        <v>230</v>
      </c>
      <c r="F19" s="13" t="n">
        <v>11000</v>
      </c>
      <c r="G19" s="11" t="s">
        <v>201</v>
      </c>
      <c r="H19" s="11"/>
      <c r="I19" s="11"/>
    </row>
    <row r="20" customFormat="false" ht="15" hidden="false" customHeight="false" outlineLevel="0" collapsed="false">
      <c r="A20" s="11" t="s">
        <v>231</v>
      </c>
      <c r="B20" s="12" t="n">
        <v>46081</v>
      </c>
      <c r="C20" s="11" t="s">
        <v>170</v>
      </c>
      <c r="D20" s="11" t="s">
        <v>171</v>
      </c>
      <c r="E20" s="11" t="s">
        <v>203</v>
      </c>
      <c r="F20" s="13" t="n">
        <v>38000</v>
      </c>
      <c r="G20" s="11" t="s">
        <v>173</v>
      </c>
      <c r="H20" s="11"/>
      <c r="I20" s="11"/>
    </row>
    <row r="21" customFormat="false" ht="15" hidden="false" customHeight="false" outlineLevel="0" collapsed="false">
      <c r="A21" s="11" t="s">
        <v>232</v>
      </c>
      <c r="B21" s="12" t="n">
        <v>46081</v>
      </c>
      <c r="C21" s="11" t="s">
        <v>205</v>
      </c>
      <c r="D21" s="11" t="s">
        <v>206</v>
      </c>
      <c r="E21" s="11" t="s">
        <v>207</v>
      </c>
      <c r="F21" s="13" t="n">
        <v>1200</v>
      </c>
      <c r="G21" s="11" t="s">
        <v>173</v>
      </c>
      <c r="H21" s="11" t="s">
        <v>208</v>
      </c>
      <c r="I21" s="11"/>
    </row>
    <row r="22" customFormat="false" ht="15" hidden="false" customHeight="false" outlineLevel="0" collapsed="false">
      <c r="A22" s="11" t="s">
        <v>233</v>
      </c>
      <c r="B22" s="12" t="n">
        <v>46086</v>
      </c>
      <c r="C22" s="11" t="s">
        <v>176</v>
      </c>
      <c r="D22" s="11" t="s">
        <v>177</v>
      </c>
      <c r="E22" s="11" t="s">
        <v>178</v>
      </c>
      <c r="F22" s="13" t="n">
        <v>13000</v>
      </c>
      <c r="G22" s="11" t="s">
        <v>173</v>
      </c>
      <c r="H22" s="11" t="s">
        <v>179</v>
      </c>
      <c r="I22" s="11"/>
    </row>
    <row r="23" customFormat="false" ht="15" hidden="false" customHeight="false" outlineLevel="0" collapsed="false">
      <c r="A23" s="11" t="s">
        <v>234</v>
      </c>
      <c r="B23" s="12" t="n">
        <v>46093</v>
      </c>
      <c r="C23" s="11" t="s">
        <v>181</v>
      </c>
      <c r="D23" s="11" t="s">
        <v>182</v>
      </c>
      <c r="E23" s="11" t="s">
        <v>183</v>
      </c>
      <c r="F23" s="13" t="n">
        <v>3600</v>
      </c>
      <c r="G23" s="11" t="s">
        <v>173</v>
      </c>
      <c r="H23" s="11" t="s">
        <v>184</v>
      </c>
      <c r="I23" s="11"/>
    </row>
    <row r="24" customFormat="false" ht="15" hidden="false" customHeight="false" outlineLevel="0" collapsed="false">
      <c r="A24" s="11" t="s">
        <v>235</v>
      </c>
      <c r="B24" s="12" t="n">
        <v>46093</v>
      </c>
      <c r="C24" s="11" t="s">
        <v>181</v>
      </c>
      <c r="D24" s="11" t="s">
        <v>186</v>
      </c>
      <c r="E24" s="11" t="s">
        <v>187</v>
      </c>
      <c r="F24" s="13" t="n">
        <v>2400</v>
      </c>
      <c r="G24" s="11" t="s">
        <v>173</v>
      </c>
      <c r="H24" s="11" t="s">
        <v>188</v>
      </c>
      <c r="I24" s="11"/>
    </row>
    <row r="25" customFormat="false" ht="15" hidden="false" customHeight="false" outlineLevel="0" collapsed="false">
      <c r="A25" s="11" t="s">
        <v>236</v>
      </c>
      <c r="B25" s="12" t="n">
        <v>46095</v>
      </c>
      <c r="C25" s="11" t="s">
        <v>198</v>
      </c>
      <c r="D25" s="11" t="s">
        <v>199</v>
      </c>
      <c r="E25" s="11" t="s">
        <v>200</v>
      </c>
      <c r="F25" s="13" t="n">
        <v>6900</v>
      </c>
      <c r="G25" s="11" t="s">
        <v>201</v>
      </c>
      <c r="H25" s="11"/>
      <c r="I25" s="11"/>
    </row>
    <row r="26" customFormat="false" ht="15" hidden="false" customHeight="false" outlineLevel="0" collapsed="false">
      <c r="A26" s="11" t="s">
        <v>237</v>
      </c>
      <c r="B26" s="12" t="n">
        <v>46098</v>
      </c>
      <c r="C26" s="11" t="s">
        <v>170</v>
      </c>
      <c r="D26" s="11" t="s">
        <v>190</v>
      </c>
      <c r="E26" s="11" t="s">
        <v>191</v>
      </c>
      <c r="F26" s="13" t="n">
        <v>8200</v>
      </c>
      <c r="G26" s="11" t="s">
        <v>173</v>
      </c>
      <c r="H26" s="11"/>
      <c r="I26" s="11"/>
    </row>
    <row r="27" customFormat="false" ht="15" hidden="false" customHeight="false" outlineLevel="0" collapsed="false">
      <c r="A27" s="11" t="s">
        <v>238</v>
      </c>
      <c r="B27" s="12" t="n">
        <v>46101</v>
      </c>
      <c r="C27" s="11" t="s">
        <v>193</v>
      </c>
      <c r="D27" s="11" t="s">
        <v>194</v>
      </c>
      <c r="E27" s="11" t="s">
        <v>195</v>
      </c>
      <c r="F27" s="13" t="n">
        <v>4800</v>
      </c>
      <c r="G27" s="11" t="s">
        <v>173</v>
      </c>
      <c r="H27" s="11" t="s">
        <v>196</v>
      </c>
      <c r="I27" s="11"/>
    </row>
    <row r="28" customFormat="false" ht="15" hidden="false" customHeight="false" outlineLevel="0" collapsed="false">
      <c r="A28" s="11" t="s">
        <v>239</v>
      </c>
      <c r="B28" s="12" t="n">
        <v>46108</v>
      </c>
      <c r="C28" s="11" t="s">
        <v>193</v>
      </c>
      <c r="D28" s="11" t="s">
        <v>240</v>
      </c>
      <c r="E28" s="11" t="s">
        <v>241</v>
      </c>
      <c r="F28" s="13" t="n">
        <v>6200</v>
      </c>
      <c r="G28" s="11" t="s">
        <v>201</v>
      </c>
      <c r="H28" s="11" t="s">
        <v>242</v>
      </c>
      <c r="I28" s="11"/>
    </row>
    <row r="29" customFormat="false" ht="15" hidden="false" customHeight="false" outlineLevel="0" collapsed="false">
      <c r="A29" s="11" t="s">
        <v>243</v>
      </c>
      <c r="B29" s="12" t="n">
        <v>46109</v>
      </c>
      <c r="C29" s="11" t="s">
        <v>170</v>
      </c>
      <c r="D29" s="11" t="s">
        <v>171</v>
      </c>
      <c r="E29" s="11" t="s">
        <v>203</v>
      </c>
      <c r="F29" s="13" t="n">
        <v>38000</v>
      </c>
      <c r="G29" s="11" t="s">
        <v>173</v>
      </c>
      <c r="H29" s="11"/>
      <c r="I29" s="11"/>
    </row>
    <row r="30" customFormat="false" ht="15" hidden="false" customHeight="false" outlineLevel="0" collapsed="false">
      <c r="A30" s="11" t="s">
        <v>244</v>
      </c>
      <c r="B30" s="12" t="n">
        <v>46111</v>
      </c>
      <c r="C30" s="11" t="s">
        <v>205</v>
      </c>
      <c r="D30" s="11" t="s">
        <v>206</v>
      </c>
      <c r="E30" s="11" t="s">
        <v>207</v>
      </c>
      <c r="F30" s="13" t="n">
        <v>1200</v>
      </c>
      <c r="G30" s="11" t="s">
        <v>173</v>
      </c>
      <c r="H30" s="11" t="s">
        <v>208</v>
      </c>
      <c r="I30" s="11"/>
    </row>
    <row r="31" customFormat="false" ht="15" hidden="false" customHeight="false" outlineLevel="0" collapsed="false">
      <c r="A31" s="11" t="s">
        <v>245</v>
      </c>
      <c r="B31" s="12" t="n">
        <v>46117</v>
      </c>
      <c r="C31" s="11" t="s">
        <v>176</v>
      </c>
      <c r="D31" s="11" t="s">
        <v>177</v>
      </c>
      <c r="E31" s="11" t="s">
        <v>178</v>
      </c>
      <c r="F31" s="13" t="n">
        <v>13000</v>
      </c>
      <c r="G31" s="11" t="s">
        <v>173</v>
      </c>
      <c r="H31" s="11" t="s">
        <v>179</v>
      </c>
      <c r="I31" s="11"/>
    </row>
    <row r="32" customFormat="false" ht="15" hidden="false" customHeight="false" outlineLevel="0" collapsed="false">
      <c r="A32" s="11" t="s">
        <v>246</v>
      </c>
      <c r="B32" s="12" t="n">
        <v>46121</v>
      </c>
      <c r="C32" s="11" t="s">
        <v>210</v>
      </c>
      <c r="D32" s="11" t="s">
        <v>247</v>
      </c>
      <c r="E32" s="11" t="s">
        <v>248</v>
      </c>
      <c r="F32" s="13" t="n">
        <v>16000</v>
      </c>
      <c r="G32" s="11" t="s">
        <v>201</v>
      </c>
      <c r="H32" s="11"/>
      <c r="I32" s="11"/>
    </row>
    <row r="33" customFormat="false" ht="15" hidden="false" customHeight="false" outlineLevel="0" collapsed="false">
      <c r="A33" s="11" t="s">
        <v>249</v>
      </c>
      <c r="B33" s="12" t="n">
        <v>46122</v>
      </c>
      <c r="C33" s="11" t="s">
        <v>198</v>
      </c>
      <c r="D33" s="11" t="s">
        <v>250</v>
      </c>
      <c r="E33" s="11" t="s">
        <v>251</v>
      </c>
      <c r="F33" s="13" t="n">
        <v>9800</v>
      </c>
      <c r="G33" s="11" t="s">
        <v>201</v>
      </c>
      <c r="H33" s="11"/>
      <c r="I33" s="11"/>
    </row>
    <row r="34" customFormat="false" ht="15" hidden="false" customHeight="false" outlineLevel="0" collapsed="false">
      <c r="A34" s="11" t="s">
        <v>252</v>
      </c>
      <c r="B34" s="12" t="n">
        <v>46124</v>
      </c>
      <c r="C34" s="11" t="s">
        <v>181</v>
      </c>
      <c r="D34" s="11" t="s">
        <v>182</v>
      </c>
      <c r="E34" s="11" t="s">
        <v>183</v>
      </c>
      <c r="F34" s="13" t="n">
        <v>3600</v>
      </c>
      <c r="G34" s="11" t="s">
        <v>173</v>
      </c>
      <c r="H34" s="11" t="s">
        <v>184</v>
      </c>
      <c r="I34" s="11"/>
    </row>
    <row r="35" customFormat="false" ht="15" hidden="false" customHeight="false" outlineLevel="0" collapsed="false">
      <c r="A35" s="11" t="s">
        <v>253</v>
      </c>
      <c r="B35" s="12" t="n">
        <v>46124</v>
      </c>
      <c r="C35" s="11" t="s">
        <v>181</v>
      </c>
      <c r="D35" s="11" t="s">
        <v>186</v>
      </c>
      <c r="E35" s="11" t="s">
        <v>187</v>
      </c>
      <c r="F35" s="13" t="n">
        <v>2400</v>
      </c>
      <c r="G35" s="11" t="s">
        <v>173</v>
      </c>
      <c r="H35" s="11" t="s">
        <v>188</v>
      </c>
      <c r="I35" s="11"/>
    </row>
    <row r="36" customFormat="false" ht="15" hidden="false" customHeight="false" outlineLevel="0" collapsed="false">
      <c r="A36" s="11" t="s">
        <v>254</v>
      </c>
      <c r="B36" s="12" t="n">
        <v>46129</v>
      </c>
      <c r="C36" s="11" t="s">
        <v>170</v>
      </c>
      <c r="D36" s="11" t="s">
        <v>190</v>
      </c>
      <c r="E36" s="11" t="s">
        <v>191</v>
      </c>
      <c r="F36" s="13" t="n">
        <v>8200</v>
      </c>
      <c r="G36" s="11" t="s">
        <v>173</v>
      </c>
      <c r="H36" s="11"/>
      <c r="I36" s="11"/>
    </row>
    <row r="37" customFormat="false" ht="15" hidden="false" customHeight="false" outlineLevel="0" collapsed="false">
      <c r="A37" s="11" t="s">
        <v>255</v>
      </c>
      <c r="B37" s="12" t="n">
        <v>46132</v>
      </c>
      <c r="C37" s="11" t="s">
        <v>193</v>
      </c>
      <c r="D37" s="11" t="s">
        <v>194</v>
      </c>
      <c r="E37" s="11" t="s">
        <v>195</v>
      </c>
      <c r="F37" s="13" t="n">
        <v>4800</v>
      </c>
      <c r="G37" s="11" t="s">
        <v>173</v>
      </c>
      <c r="H37" s="11" t="s">
        <v>196</v>
      </c>
      <c r="I37" s="11"/>
    </row>
    <row r="38" customFormat="false" ht="15" hidden="false" customHeight="false" outlineLevel="0" collapsed="false">
      <c r="A38" s="11" t="s">
        <v>256</v>
      </c>
      <c r="B38" s="12" t="n">
        <v>46140</v>
      </c>
      <c r="C38" s="11" t="s">
        <v>170</v>
      </c>
      <c r="D38" s="11" t="s">
        <v>171</v>
      </c>
      <c r="E38" s="11" t="s">
        <v>203</v>
      </c>
      <c r="F38" s="13" t="n">
        <v>38000</v>
      </c>
      <c r="G38" s="11" t="s">
        <v>173</v>
      </c>
      <c r="H38" s="11"/>
      <c r="I38" s="11"/>
    </row>
    <row r="39" customFormat="false" ht="15" hidden="false" customHeight="false" outlineLevel="0" collapsed="false">
      <c r="A39" s="11" t="s">
        <v>257</v>
      </c>
      <c r="B39" s="12" t="n">
        <v>46142</v>
      </c>
      <c r="C39" s="11" t="s">
        <v>205</v>
      </c>
      <c r="D39" s="11" t="s">
        <v>206</v>
      </c>
      <c r="E39" s="11" t="s">
        <v>207</v>
      </c>
      <c r="F39" s="13" t="n">
        <v>1200</v>
      </c>
      <c r="G39" s="11" t="s">
        <v>173</v>
      </c>
      <c r="H39" s="11" t="s">
        <v>208</v>
      </c>
      <c r="I39" s="11"/>
    </row>
    <row r="40" customFormat="false" ht="15" hidden="false" customHeight="false" outlineLevel="0" collapsed="false">
      <c r="A40" s="11" t="s">
        <v>258</v>
      </c>
      <c r="B40" s="12" t="n">
        <v>46147</v>
      </c>
      <c r="C40" s="11" t="s">
        <v>176</v>
      </c>
      <c r="D40" s="11" t="s">
        <v>177</v>
      </c>
      <c r="E40" s="11" t="s">
        <v>178</v>
      </c>
      <c r="F40" s="13" t="n">
        <v>13000</v>
      </c>
      <c r="G40" s="11" t="s">
        <v>173</v>
      </c>
      <c r="H40" s="11" t="s">
        <v>179</v>
      </c>
      <c r="I40" s="11"/>
    </row>
    <row r="41" customFormat="false" ht="15" hidden="false" customHeight="false" outlineLevel="0" collapsed="false">
      <c r="A41" s="11" t="s">
        <v>259</v>
      </c>
      <c r="B41" s="12" t="n">
        <v>46150</v>
      </c>
      <c r="C41" s="11" t="s">
        <v>216</v>
      </c>
      <c r="D41" s="11" t="s">
        <v>217</v>
      </c>
      <c r="E41" s="11" t="s">
        <v>260</v>
      </c>
      <c r="F41" s="13" t="n">
        <v>74000</v>
      </c>
      <c r="G41" s="11" t="s">
        <v>201</v>
      </c>
      <c r="H41" s="11" t="s">
        <v>219</v>
      </c>
      <c r="I41" s="11"/>
    </row>
    <row r="42" customFormat="false" ht="15" hidden="false" customHeight="false" outlineLevel="0" collapsed="false">
      <c r="A42" s="11" t="s">
        <v>261</v>
      </c>
      <c r="B42" s="12" t="n">
        <v>46150</v>
      </c>
      <c r="C42" s="11" t="s">
        <v>216</v>
      </c>
      <c r="D42" s="11" t="s">
        <v>221</v>
      </c>
      <c r="E42" s="11" t="s">
        <v>262</v>
      </c>
      <c r="F42" s="13" t="n">
        <v>28900</v>
      </c>
      <c r="G42" s="11" t="s">
        <v>201</v>
      </c>
      <c r="H42" s="11" t="s">
        <v>223</v>
      </c>
      <c r="I42" s="11"/>
    </row>
    <row r="43" customFormat="false" ht="15" hidden="false" customHeight="false" outlineLevel="0" collapsed="false">
      <c r="A43" s="11" t="s">
        <v>263</v>
      </c>
      <c r="B43" s="12" t="n">
        <v>46154</v>
      </c>
      <c r="C43" s="11" t="s">
        <v>181</v>
      </c>
      <c r="D43" s="11" t="s">
        <v>182</v>
      </c>
      <c r="E43" s="11" t="s">
        <v>183</v>
      </c>
      <c r="F43" s="13" t="n">
        <v>3600</v>
      </c>
      <c r="G43" s="11" t="s">
        <v>173</v>
      </c>
      <c r="H43" s="11" t="s">
        <v>184</v>
      </c>
      <c r="I43" s="11"/>
    </row>
    <row r="44" customFormat="false" ht="15" hidden="false" customHeight="false" outlineLevel="0" collapsed="false">
      <c r="A44" s="11" t="s">
        <v>264</v>
      </c>
      <c r="B44" s="12" t="n">
        <v>46154</v>
      </c>
      <c r="C44" s="11" t="s">
        <v>181</v>
      </c>
      <c r="D44" s="11" t="s">
        <v>186</v>
      </c>
      <c r="E44" s="11" t="s">
        <v>187</v>
      </c>
      <c r="F44" s="13" t="n">
        <v>2400</v>
      </c>
      <c r="G44" s="11" t="s">
        <v>173</v>
      </c>
      <c r="H44" s="11" t="s">
        <v>188</v>
      </c>
      <c r="I44" s="11"/>
    </row>
    <row r="45" customFormat="false" ht="15" hidden="false" customHeight="false" outlineLevel="0" collapsed="false">
      <c r="A45" s="11" t="s">
        <v>265</v>
      </c>
      <c r="B45" s="12" t="n">
        <v>46159</v>
      </c>
      <c r="C45" s="11" t="s">
        <v>170</v>
      </c>
      <c r="D45" s="11" t="s">
        <v>190</v>
      </c>
      <c r="E45" s="11" t="s">
        <v>191</v>
      </c>
      <c r="F45" s="13" t="n">
        <v>8200</v>
      </c>
      <c r="G45" s="11" t="s">
        <v>173</v>
      </c>
      <c r="H45" s="11"/>
      <c r="I45" s="11"/>
    </row>
    <row r="46" customFormat="false" ht="15" hidden="false" customHeight="false" outlineLevel="0" collapsed="false">
      <c r="A46" s="11" t="s">
        <v>266</v>
      </c>
      <c r="B46" s="12" t="n">
        <v>46162</v>
      </c>
      <c r="C46" s="11" t="s">
        <v>193</v>
      </c>
      <c r="D46" s="11" t="s">
        <v>194</v>
      </c>
      <c r="E46" s="11" t="s">
        <v>195</v>
      </c>
      <c r="F46" s="13" t="n">
        <v>4800</v>
      </c>
      <c r="G46" s="11" t="s">
        <v>173</v>
      </c>
      <c r="H46" s="11" t="s">
        <v>196</v>
      </c>
      <c r="I46" s="11"/>
    </row>
    <row r="47" customFormat="false" ht="15" hidden="false" customHeight="false" outlineLevel="0" collapsed="false">
      <c r="A47" s="11" t="s">
        <v>267</v>
      </c>
      <c r="B47" s="12" t="n">
        <v>46163</v>
      </c>
      <c r="C47" s="11" t="s">
        <v>198</v>
      </c>
      <c r="D47" s="11" t="s">
        <v>199</v>
      </c>
      <c r="E47" s="11" t="s">
        <v>268</v>
      </c>
      <c r="F47" s="13" t="n">
        <v>7300</v>
      </c>
      <c r="G47" s="11" t="s">
        <v>201</v>
      </c>
      <c r="H47" s="11"/>
      <c r="I47" s="11"/>
    </row>
    <row r="48" customFormat="false" ht="15" hidden="false" customHeight="false" outlineLevel="0" collapsed="false">
      <c r="A48" s="11" t="s">
        <v>269</v>
      </c>
      <c r="B48" s="12" t="n">
        <v>46170</v>
      </c>
      <c r="C48" s="11" t="s">
        <v>170</v>
      </c>
      <c r="D48" s="11" t="s">
        <v>171</v>
      </c>
      <c r="E48" s="11" t="s">
        <v>203</v>
      </c>
      <c r="F48" s="13" t="n">
        <v>38000</v>
      </c>
      <c r="G48" s="11" t="s">
        <v>173</v>
      </c>
      <c r="H48" s="11"/>
      <c r="I48" s="11"/>
    </row>
    <row r="49" customFormat="false" ht="15" hidden="false" customHeight="false" outlineLevel="0" collapsed="false">
      <c r="A49" s="11" t="s">
        <v>270</v>
      </c>
      <c r="B49" s="12" t="n">
        <v>46172</v>
      </c>
      <c r="C49" s="11" t="s">
        <v>205</v>
      </c>
      <c r="D49" s="11" t="s">
        <v>206</v>
      </c>
      <c r="E49" s="11" t="s">
        <v>207</v>
      </c>
      <c r="F49" s="13" t="n">
        <v>1200</v>
      </c>
      <c r="G49" s="11" t="s">
        <v>173</v>
      </c>
      <c r="H49" s="11" t="s">
        <v>208</v>
      </c>
      <c r="I49" s="11"/>
    </row>
    <row r="50" customFormat="false" ht="15" hidden="false" customHeight="false" outlineLevel="0" collapsed="false">
      <c r="A50" s="11" t="s">
        <v>271</v>
      </c>
      <c r="B50" s="12" t="n">
        <v>46178</v>
      </c>
      <c r="C50" s="11" t="s">
        <v>176</v>
      </c>
      <c r="D50" s="11" t="s">
        <v>177</v>
      </c>
      <c r="E50" s="11" t="s">
        <v>178</v>
      </c>
      <c r="F50" s="13" t="n">
        <v>13000</v>
      </c>
      <c r="G50" s="11" t="s">
        <v>173</v>
      </c>
      <c r="H50" s="11" t="s">
        <v>179</v>
      </c>
      <c r="I50" s="11"/>
    </row>
    <row r="51" customFormat="false" ht="15" hidden="false" customHeight="false" outlineLevel="0" collapsed="false">
      <c r="A51" s="11" t="s">
        <v>272</v>
      </c>
      <c r="B51" s="12" t="n">
        <v>46185</v>
      </c>
      <c r="C51" s="11" t="s">
        <v>181</v>
      </c>
      <c r="D51" s="11" t="s">
        <v>182</v>
      </c>
      <c r="E51" s="11" t="s">
        <v>183</v>
      </c>
      <c r="F51" s="13" t="n">
        <v>3600</v>
      </c>
      <c r="G51" s="11" t="s">
        <v>173</v>
      </c>
      <c r="H51" s="11" t="s">
        <v>184</v>
      </c>
      <c r="I51" s="11"/>
    </row>
    <row r="52" customFormat="false" ht="15" hidden="false" customHeight="false" outlineLevel="0" collapsed="false">
      <c r="A52" s="11" t="s">
        <v>273</v>
      </c>
      <c r="B52" s="12" t="n">
        <v>46185</v>
      </c>
      <c r="C52" s="11" t="s">
        <v>181</v>
      </c>
      <c r="D52" s="11" t="s">
        <v>186</v>
      </c>
      <c r="E52" s="11" t="s">
        <v>187</v>
      </c>
      <c r="F52" s="13" t="n">
        <v>2400</v>
      </c>
      <c r="G52" s="11" t="s">
        <v>173</v>
      </c>
      <c r="H52" s="11" t="s">
        <v>188</v>
      </c>
      <c r="I52" s="11"/>
    </row>
    <row r="53" customFormat="false" ht="15" hidden="false" customHeight="false" outlineLevel="0" collapsed="false">
      <c r="A53" s="11" t="s">
        <v>274</v>
      </c>
      <c r="B53" s="12" t="n">
        <v>46185</v>
      </c>
      <c r="C53" s="11" t="s">
        <v>193</v>
      </c>
      <c r="D53" s="11" t="s">
        <v>85</v>
      </c>
      <c r="E53" s="11" t="s">
        <v>275</v>
      </c>
      <c r="F53" s="13" t="n">
        <v>12500</v>
      </c>
      <c r="G53" s="11" t="s">
        <v>201</v>
      </c>
      <c r="H53" s="11"/>
      <c r="I53" s="11"/>
    </row>
    <row r="54" customFormat="false" ht="15" hidden="false" customHeight="false" outlineLevel="0" collapsed="false">
      <c r="A54" s="11" t="s">
        <v>276</v>
      </c>
      <c r="B54" s="12" t="n">
        <v>46190</v>
      </c>
      <c r="C54" s="11" t="s">
        <v>170</v>
      </c>
      <c r="D54" s="11" t="s">
        <v>190</v>
      </c>
      <c r="E54" s="11" t="s">
        <v>191</v>
      </c>
      <c r="F54" s="13" t="n">
        <v>8200</v>
      </c>
      <c r="G54" s="11" t="s">
        <v>173</v>
      </c>
      <c r="H54" s="11"/>
      <c r="I54" s="11"/>
    </row>
    <row r="55" customFormat="false" ht="15" hidden="false" customHeight="false" outlineLevel="0" collapsed="false">
      <c r="A55" s="11" t="s">
        <v>277</v>
      </c>
      <c r="B55" s="12" t="n">
        <v>46193</v>
      </c>
      <c r="C55" s="11" t="s">
        <v>193</v>
      </c>
      <c r="D55" s="11" t="s">
        <v>194</v>
      </c>
      <c r="E55" s="11" t="s">
        <v>195</v>
      </c>
      <c r="F55" s="13" t="n">
        <v>4800</v>
      </c>
      <c r="G55" s="11" t="s">
        <v>173</v>
      </c>
      <c r="H55" s="11" t="s">
        <v>196</v>
      </c>
      <c r="I55" s="11"/>
    </row>
    <row r="56" customFormat="false" ht="15" hidden="false" customHeight="false" outlineLevel="0" collapsed="false">
      <c r="A56" s="11" t="s">
        <v>278</v>
      </c>
      <c r="B56" s="12" t="n">
        <v>46198</v>
      </c>
      <c r="C56" s="11" t="s">
        <v>210</v>
      </c>
      <c r="D56" s="11" t="s">
        <v>229</v>
      </c>
      <c r="E56" s="11" t="s">
        <v>279</v>
      </c>
      <c r="F56" s="13" t="n">
        <v>15200</v>
      </c>
      <c r="G56" s="11" t="s">
        <v>201</v>
      </c>
      <c r="H56" s="11"/>
      <c r="I56" s="11"/>
    </row>
    <row r="57" customFormat="false" ht="15" hidden="false" customHeight="false" outlineLevel="0" collapsed="false">
      <c r="A57" s="11" t="s">
        <v>280</v>
      </c>
      <c r="B57" s="12" t="n">
        <v>46201</v>
      </c>
      <c r="C57" s="11" t="s">
        <v>170</v>
      </c>
      <c r="D57" s="11" t="s">
        <v>171</v>
      </c>
      <c r="E57" s="11" t="s">
        <v>203</v>
      </c>
      <c r="F57" s="13" t="n">
        <v>38000</v>
      </c>
      <c r="G57" s="11" t="s">
        <v>173</v>
      </c>
      <c r="H57" s="11"/>
      <c r="I57" s="11"/>
    </row>
    <row r="58" customFormat="false" ht="15" hidden="false" customHeight="false" outlineLevel="0" collapsed="false">
      <c r="A58" s="11" t="s">
        <v>281</v>
      </c>
      <c r="B58" s="12" t="n">
        <v>46203</v>
      </c>
      <c r="C58" s="11" t="s">
        <v>205</v>
      </c>
      <c r="D58" s="11" t="s">
        <v>206</v>
      </c>
      <c r="E58" s="11" t="s">
        <v>207</v>
      </c>
      <c r="F58" s="13" t="n">
        <v>1200</v>
      </c>
      <c r="G58" s="11" t="s">
        <v>173</v>
      </c>
      <c r="H58" s="11" t="s">
        <v>208</v>
      </c>
      <c r="I58" s="11"/>
    </row>
    <row r="59" customFormat="false" ht="15" hidden="false" customHeight="false" outlineLevel="0" collapsed="false">
      <c r="A59" s="11" t="s">
        <v>282</v>
      </c>
      <c r="B59" s="12" t="n">
        <v>46208</v>
      </c>
      <c r="C59" s="11" t="s">
        <v>176</v>
      </c>
      <c r="D59" s="11" t="s">
        <v>177</v>
      </c>
      <c r="E59" s="11" t="s">
        <v>178</v>
      </c>
      <c r="F59" s="13" t="n">
        <v>13000</v>
      </c>
      <c r="G59" s="11" t="s">
        <v>173</v>
      </c>
      <c r="H59" s="11" t="s">
        <v>179</v>
      </c>
      <c r="I59" s="11"/>
    </row>
    <row r="60" customFormat="false" ht="15" hidden="false" customHeight="false" outlineLevel="0" collapsed="false">
      <c r="A60" s="11" t="s">
        <v>283</v>
      </c>
      <c r="B60" s="12" t="n">
        <v>46211</v>
      </c>
      <c r="C60" s="11" t="s">
        <v>198</v>
      </c>
      <c r="D60" s="11" t="s">
        <v>199</v>
      </c>
      <c r="E60" s="11" t="s">
        <v>284</v>
      </c>
      <c r="F60" s="13" t="n">
        <v>12600</v>
      </c>
      <c r="G60" s="11" t="s">
        <v>201</v>
      </c>
      <c r="H60" s="11"/>
      <c r="I60" s="11"/>
    </row>
    <row r="61" customFormat="false" ht="15" hidden="false" customHeight="false" outlineLevel="0" collapsed="false">
      <c r="A61" s="11" t="s">
        <v>285</v>
      </c>
      <c r="B61" s="12" t="n">
        <v>46215</v>
      </c>
      <c r="C61" s="11" t="s">
        <v>181</v>
      </c>
      <c r="D61" s="11" t="s">
        <v>182</v>
      </c>
      <c r="E61" s="11" t="s">
        <v>183</v>
      </c>
      <c r="F61" s="13" t="n">
        <v>3600</v>
      </c>
      <c r="G61" s="11" t="s">
        <v>173</v>
      </c>
      <c r="H61" s="11" t="s">
        <v>184</v>
      </c>
      <c r="I61" s="11"/>
    </row>
    <row r="62" customFormat="false" ht="15" hidden="false" customHeight="false" outlineLevel="0" collapsed="false">
      <c r="A62" s="11" t="s">
        <v>286</v>
      </c>
      <c r="B62" s="12" t="n">
        <v>46215</v>
      </c>
      <c r="C62" s="11" t="s">
        <v>181</v>
      </c>
      <c r="D62" s="11" t="s">
        <v>186</v>
      </c>
      <c r="E62" s="11" t="s">
        <v>187</v>
      </c>
      <c r="F62" s="13" t="n">
        <v>2400</v>
      </c>
      <c r="G62" s="11" t="s">
        <v>173</v>
      </c>
      <c r="H62" s="11" t="s">
        <v>188</v>
      </c>
      <c r="I62" s="11"/>
    </row>
    <row r="63" customFormat="false" ht="15" hidden="false" customHeight="false" outlineLevel="0" collapsed="false">
      <c r="A63" s="11" t="s">
        <v>287</v>
      </c>
      <c r="B63" s="12" t="n">
        <v>46220</v>
      </c>
      <c r="C63" s="11" t="s">
        <v>170</v>
      </c>
      <c r="D63" s="11" t="s">
        <v>190</v>
      </c>
      <c r="E63" s="11" t="s">
        <v>191</v>
      </c>
      <c r="F63" s="13" t="n">
        <v>8200</v>
      </c>
      <c r="G63" s="11" t="s">
        <v>173</v>
      </c>
      <c r="H63" s="11"/>
      <c r="I63" s="11"/>
    </row>
    <row r="64" customFormat="false" ht="15" hidden="false" customHeight="false" outlineLevel="0" collapsed="false">
      <c r="A64" s="11" t="s">
        <v>288</v>
      </c>
      <c r="B64" s="12" t="n">
        <v>46223</v>
      </c>
      <c r="C64" s="11" t="s">
        <v>193</v>
      </c>
      <c r="D64" s="11" t="s">
        <v>194</v>
      </c>
      <c r="E64" s="11" t="s">
        <v>195</v>
      </c>
      <c r="F64" s="13" t="n">
        <v>4800</v>
      </c>
      <c r="G64" s="11" t="s">
        <v>173</v>
      </c>
      <c r="H64" s="11" t="s">
        <v>196</v>
      </c>
      <c r="I64" s="11"/>
    </row>
    <row r="65" customFormat="false" ht="15" hidden="false" customHeight="false" outlineLevel="0" collapsed="false">
      <c r="A65" s="11" t="s">
        <v>289</v>
      </c>
      <c r="B65" s="12" t="n">
        <v>46226</v>
      </c>
      <c r="C65" s="11" t="s">
        <v>193</v>
      </c>
      <c r="D65" s="11" t="s">
        <v>240</v>
      </c>
      <c r="E65" s="11" t="s">
        <v>290</v>
      </c>
      <c r="F65" s="13" t="n">
        <v>8100</v>
      </c>
      <c r="G65" s="11" t="s">
        <v>201</v>
      </c>
      <c r="H65" s="11" t="s">
        <v>242</v>
      </c>
      <c r="I65" s="11"/>
    </row>
    <row r="66" customFormat="false" ht="15" hidden="false" customHeight="false" outlineLevel="0" collapsed="false">
      <c r="A66" s="11" t="s">
        <v>291</v>
      </c>
      <c r="B66" s="12" t="n">
        <v>46231</v>
      </c>
      <c r="C66" s="11" t="s">
        <v>170</v>
      </c>
      <c r="D66" s="11" t="s">
        <v>171</v>
      </c>
      <c r="E66" s="11" t="s">
        <v>203</v>
      </c>
      <c r="F66" s="13" t="n">
        <v>38000</v>
      </c>
      <c r="G66" s="11" t="s">
        <v>173</v>
      </c>
      <c r="H66" s="11"/>
      <c r="I66" s="11"/>
    </row>
    <row r="67" customFormat="false" ht="15" hidden="false" customHeight="false" outlineLevel="0" collapsed="false">
      <c r="A67" s="11" t="s">
        <v>292</v>
      </c>
      <c r="B67" s="12" t="n">
        <v>46233</v>
      </c>
      <c r="C67" s="11" t="s">
        <v>205</v>
      </c>
      <c r="D67" s="11" t="s">
        <v>206</v>
      </c>
      <c r="E67" s="11" t="s">
        <v>207</v>
      </c>
      <c r="F67" s="13" t="n">
        <v>1200</v>
      </c>
      <c r="G67" s="11" t="s">
        <v>173</v>
      </c>
      <c r="H67" s="11" t="s">
        <v>208</v>
      </c>
      <c r="I67" s="11"/>
    </row>
    <row r="68" customFormat="false" ht="15" hidden="false" customHeight="false" outlineLevel="0" collapsed="false">
      <c r="A68" s="11" t="s">
        <v>293</v>
      </c>
      <c r="B68" s="12" t="n">
        <v>46239</v>
      </c>
      <c r="C68" s="11" t="s">
        <v>176</v>
      </c>
      <c r="D68" s="11" t="s">
        <v>177</v>
      </c>
      <c r="E68" s="11" t="s">
        <v>178</v>
      </c>
      <c r="F68" s="13" t="n">
        <v>13000</v>
      </c>
      <c r="G68" s="11" t="s">
        <v>173</v>
      </c>
      <c r="H68" s="11" t="s">
        <v>179</v>
      </c>
      <c r="I68" s="11"/>
    </row>
    <row r="69" customFormat="false" ht="15" hidden="false" customHeight="false" outlineLevel="0" collapsed="false">
      <c r="A69" s="11" t="s">
        <v>294</v>
      </c>
      <c r="B69" s="12" t="n">
        <v>46246</v>
      </c>
      <c r="C69" s="11" t="s">
        <v>181</v>
      </c>
      <c r="D69" s="11" t="s">
        <v>182</v>
      </c>
      <c r="E69" s="11" t="s">
        <v>183</v>
      </c>
      <c r="F69" s="13" t="n">
        <v>3600</v>
      </c>
      <c r="G69" s="11" t="s">
        <v>173</v>
      </c>
      <c r="H69" s="11" t="s">
        <v>184</v>
      </c>
      <c r="I69" s="11"/>
    </row>
    <row r="70" customFormat="false" ht="15" hidden="false" customHeight="false" outlineLevel="0" collapsed="false">
      <c r="A70" s="11" t="s">
        <v>295</v>
      </c>
      <c r="B70" s="12" t="n">
        <v>46246</v>
      </c>
      <c r="C70" s="11" t="s">
        <v>181</v>
      </c>
      <c r="D70" s="11" t="s">
        <v>186</v>
      </c>
      <c r="E70" s="11" t="s">
        <v>187</v>
      </c>
      <c r="F70" s="13" t="n">
        <v>2400</v>
      </c>
      <c r="G70" s="11" t="s">
        <v>173</v>
      </c>
      <c r="H70" s="11" t="s">
        <v>188</v>
      </c>
      <c r="I70" s="11"/>
    </row>
    <row r="71" customFormat="false" ht="15" hidden="false" customHeight="false" outlineLevel="0" collapsed="false">
      <c r="A71" s="11" t="s">
        <v>296</v>
      </c>
      <c r="B71" s="12" t="n">
        <v>46248</v>
      </c>
      <c r="C71" s="11" t="s">
        <v>297</v>
      </c>
      <c r="D71" s="11" t="s">
        <v>298</v>
      </c>
      <c r="E71" s="11" t="s">
        <v>299</v>
      </c>
      <c r="F71" s="13" t="n">
        <v>22000</v>
      </c>
      <c r="G71" s="11" t="s">
        <v>201</v>
      </c>
      <c r="H71" s="11" t="s">
        <v>300</v>
      </c>
      <c r="I71" s="11"/>
    </row>
    <row r="72" customFormat="false" ht="15" hidden="false" customHeight="false" outlineLevel="0" collapsed="false">
      <c r="A72" s="11" t="s">
        <v>301</v>
      </c>
      <c r="B72" s="12" t="n">
        <v>46251</v>
      </c>
      <c r="C72" s="11" t="s">
        <v>170</v>
      </c>
      <c r="D72" s="11" t="s">
        <v>190</v>
      </c>
      <c r="E72" s="11" t="s">
        <v>191</v>
      </c>
      <c r="F72" s="13" t="n">
        <v>8200</v>
      </c>
      <c r="G72" s="11" t="s">
        <v>173</v>
      </c>
      <c r="H72" s="11"/>
      <c r="I72" s="11"/>
    </row>
    <row r="73" customFormat="false" ht="15" hidden="false" customHeight="false" outlineLevel="0" collapsed="false">
      <c r="A73" s="11" t="s">
        <v>302</v>
      </c>
      <c r="B73" s="12" t="n">
        <v>46254</v>
      </c>
      <c r="C73" s="11" t="s">
        <v>193</v>
      </c>
      <c r="D73" s="11" t="s">
        <v>194</v>
      </c>
      <c r="E73" s="11" t="s">
        <v>195</v>
      </c>
      <c r="F73" s="13" t="n">
        <v>4800</v>
      </c>
      <c r="G73" s="11" t="s">
        <v>173</v>
      </c>
      <c r="H73" s="11" t="s">
        <v>196</v>
      </c>
      <c r="I73" s="11"/>
    </row>
    <row r="74" customFormat="false" ht="15" hidden="false" customHeight="false" outlineLevel="0" collapsed="false">
      <c r="A74" s="11" t="s">
        <v>303</v>
      </c>
      <c r="B74" s="12" t="n">
        <v>46261</v>
      </c>
      <c r="C74" s="11" t="s">
        <v>198</v>
      </c>
      <c r="D74" s="11" t="s">
        <v>199</v>
      </c>
      <c r="E74" s="11" t="s">
        <v>304</v>
      </c>
      <c r="F74" s="13" t="n">
        <v>9400</v>
      </c>
      <c r="G74" s="11" t="s">
        <v>201</v>
      </c>
      <c r="H74" s="11"/>
      <c r="I74" s="11"/>
    </row>
    <row r="75" customFormat="false" ht="15" hidden="false" customHeight="false" outlineLevel="0" collapsed="false">
      <c r="A75" s="11" t="s">
        <v>305</v>
      </c>
      <c r="B75" s="12" t="n">
        <v>46262</v>
      </c>
      <c r="C75" s="11" t="s">
        <v>170</v>
      </c>
      <c r="D75" s="11" t="s">
        <v>171</v>
      </c>
      <c r="E75" s="11" t="s">
        <v>203</v>
      </c>
      <c r="F75" s="13" t="n">
        <v>38000</v>
      </c>
      <c r="G75" s="11" t="s">
        <v>173</v>
      </c>
      <c r="H75" s="11"/>
      <c r="I75" s="11"/>
    </row>
    <row r="76" customFormat="false" ht="15" hidden="false" customHeight="false" outlineLevel="0" collapsed="false">
      <c r="A76" s="11" t="s">
        <v>306</v>
      </c>
      <c r="B76" s="12" t="n">
        <v>46264</v>
      </c>
      <c r="C76" s="11" t="s">
        <v>205</v>
      </c>
      <c r="D76" s="11" t="s">
        <v>206</v>
      </c>
      <c r="E76" s="11" t="s">
        <v>207</v>
      </c>
      <c r="F76" s="13" t="n">
        <v>1200</v>
      </c>
      <c r="G76" s="11" t="s">
        <v>173</v>
      </c>
      <c r="H76" s="11" t="s">
        <v>208</v>
      </c>
      <c r="I76" s="11"/>
    </row>
    <row r="77" customFormat="false" ht="15" hidden="false" customHeight="false" outlineLevel="0" collapsed="false">
      <c r="A77" s="11" t="s">
        <v>307</v>
      </c>
      <c r="B77" s="12" t="n">
        <v>46269</v>
      </c>
      <c r="C77" s="11" t="s">
        <v>210</v>
      </c>
      <c r="D77" s="11" t="s">
        <v>211</v>
      </c>
      <c r="E77" s="11" t="s">
        <v>308</v>
      </c>
      <c r="F77" s="13" t="n">
        <v>11800</v>
      </c>
      <c r="G77" s="11" t="s">
        <v>201</v>
      </c>
      <c r="H77" s="11" t="s">
        <v>213</v>
      </c>
      <c r="I77" s="11"/>
    </row>
    <row r="78" customFormat="false" ht="15" hidden="false" customHeight="false" outlineLevel="0" collapsed="false">
      <c r="A78" s="11" t="s">
        <v>309</v>
      </c>
      <c r="B78" s="12" t="n">
        <v>46270</v>
      </c>
      <c r="C78" s="11" t="s">
        <v>176</v>
      </c>
      <c r="D78" s="11" t="s">
        <v>177</v>
      </c>
      <c r="E78" s="11" t="s">
        <v>178</v>
      </c>
      <c r="F78" s="13" t="n">
        <v>13000</v>
      </c>
      <c r="G78" s="11" t="s">
        <v>173</v>
      </c>
      <c r="H78" s="11" t="s">
        <v>179</v>
      </c>
      <c r="I78" s="11"/>
    </row>
    <row r="79" customFormat="false" ht="15" hidden="false" customHeight="false" outlineLevel="0" collapsed="false">
      <c r="A79" s="11" t="s">
        <v>310</v>
      </c>
      <c r="B79" s="12" t="n">
        <v>46277</v>
      </c>
      <c r="C79" s="11" t="s">
        <v>181</v>
      </c>
      <c r="D79" s="11" t="s">
        <v>182</v>
      </c>
      <c r="E79" s="11" t="s">
        <v>183</v>
      </c>
      <c r="F79" s="13" t="n">
        <v>3600</v>
      </c>
      <c r="G79" s="11" t="s">
        <v>173</v>
      </c>
      <c r="H79" s="11" t="s">
        <v>184</v>
      </c>
      <c r="I79" s="11"/>
    </row>
    <row r="80" customFormat="false" ht="15" hidden="false" customHeight="false" outlineLevel="0" collapsed="false">
      <c r="A80" s="11" t="s">
        <v>311</v>
      </c>
      <c r="B80" s="12" t="n">
        <v>46277</v>
      </c>
      <c r="C80" s="11" t="s">
        <v>181</v>
      </c>
      <c r="D80" s="11" t="s">
        <v>186</v>
      </c>
      <c r="E80" s="11" t="s">
        <v>187</v>
      </c>
      <c r="F80" s="13" t="n">
        <v>2400</v>
      </c>
      <c r="G80" s="11" t="s">
        <v>173</v>
      </c>
      <c r="H80" s="11" t="s">
        <v>188</v>
      </c>
      <c r="I80" s="11"/>
    </row>
    <row r="81" customFormat="false" ht="15" hidden="false" customHeight="false" outlineLevel="0" collapsed="false">
      <c r="A81" s="11" t="s">
        <v>312</v>
      </c>
      <c r="B81" s="12" t="n">
        <v>46282</v>
      </c>
      <c r="C81" s="11" t="s">
        <v>170</v>
      </c>
      <c r="D81" s="11" t="s">
        <v>190</v>
      </c>
      <c r="E81" s="11" t="s">
        <v>191</v>
      </c>
      <c r="F81" s="13" t="n">
        <v>8200</v>
      </c>
      <c r="G81" s="11" t="s">
        <v>173</v>
      </c>
      <c r="H81" s="11"/>
      <c r="I81" s="11"/>
    </row>
    <row r="82" customFormat="false" ht="15" hidden="false" customHeight="false" outlineLevel="0" collapsed="false">
      <c r="A82" s="11" t="s">
        <v>313</v>
      </c>
      <c r="B82" s="12" t="n">
        <v>46285</v>
      </c>
      <c r="C82" s="11" t="s">
        <v>193</v>
      </c>
      <c r="D82" s="11" t="s">
        <v>194</v>
      </c>
      <c r="E82" s="11" t="s">
        <v>195</v>
      </c>
      <c r="F82" s="13" t="n">
        <v>4800</v>
      </c>
      <c r="G82" s="11" t="s">
        <v>173</v>
      </c>
      <c r="H82" s="11" t="s">
        <v>196</v>
      </c>
      <c r="I82" s="11"/>
    </row>
    <row r="83" customFormat="false" ht="15" hidden="false" customHeight="false" outlineLevel="0" collapsed="false">
      <c r="A83" s="11" t="s">
        <v>314</v>
      </c>
      <c r="B83" s="12" t="n">
        <v>46293</v>
      </c>
      <c r="C83" s="11" t="s">
        <v>170</v>
      </c>
      <c r="D83" s="11" t="s">
        <v>171</v>
      </c>
      <c r="E83" s="11" t="s">
        <v>203</v>
      </c>
      <c r="F83" s="13" t="n">
        <v>38000</v>
      </c>
      <c r="G83" s="11" t="s">
        <v>173</v>
      </c>
      <c r="H83" s="11"/>
      <c r="I83" s="11"/>
    </row>
    <row r="84" customFormat="false" ht="15" hidden="false" customHeight="false" outlineLevel="0" collapsed="false">
      <c r="A84" s="11" t="s">
        <v>315</v>
      </c>
      <c r="B84" s="12" t="n">
        <v>46295</v>
      </c>
      <c r="C84" s="11" t="s">
        <v>205</v>
      </c>
      <c r="D84" s="11" t="s">
        <v>206</v>
      </c>
      <c r="E84" s="11" t="s">
        <v>207</v>
      </c>
      <c r="F84" s="13" t="n">
        <v>1200</v>
      </c>
      <c r="G84" s="11" t="s">
        <v>173</v>
      </c>
      <c r="H84" s="11" t="s">
        <v>208</v>
      </c>
      <c r="I84" s="11"/>
    </row>
    <row r="85" customFormat="false" ht="15" hidden="false" customHeight="false" outlineLevel="0" collapsed="false">
      <c r="A85" s="17"/>
      <c r="B85" s="20"/>
      <c r="C85" s="17"/>
      <c r="D85" s="17"/>
      <c r="E85" s="17"/>
      <c r="F85" s="21"/>
      <c r="G85" s="17"/>
      <c r="H85" s="17"/>
      <c r="I85" s="17"/>
    </row>
    <row r="86" customFormat="false" ht="15" hidden="false" customHeight="false" outlineLevel="0" collapsed="false">
      <c r="A86" s="17"/>
      <c r="B86" s="20"/>
      <c r="C86" s="17"/>
      <c r="D86" s="17"/>
      <c r="E86" s="17"/>
      <c r="F86" s="21"/>
      <c r="G86" s="17"/>
      <c r="H86" s="17"/>
      <c r="I86" s="17"/>
    </row>
    <row r="87" customFormat="false" ht="15" hidden="false" customHeight="false" outlineLevel="0" collapsed="false">
      <c r="A87" s="17"/>
      <c r="B87" s="20"/>
      <c r="C87" s="17"/>
      <c r="D87" s="17"/>
      <c r="E87" s="17"/>
      <c r="F87" s="21"/>
      <c r="G87" s="17"/>
      <c r="H87" s="17"/>
      <c r="I87" s="17"/>
    </row>
    <row r="88" customFormat="false" ht="15" hidden="false" customHeight="false" outlineLevel="0" collapsed="false">
      <c r="A88" s="17"/>
      <c r="B88" s="20"/>
      <c r="C88" s="17"/>
      <c r="D88" s="17"/>
      <c r="E88" s="17"/>
      <c r="F88" s="21"/>
      <c r="G88" s="17"/>
      <c r="H88" s="17"/>
      <c r="I88" s="17"/>
    </row>
    <row r="89" customFormat="false" ht="15" hidden="false" customHeight="false" outlineLevel="0" collapsed="false">
      <c r="A89" s="17"/>
      <c r="B89" s="20"/>
      <c r="C89" s="17"/>
      <c r="D89" s="17"/>
      <c r="E89" s="17"/>
      <c r="F89" s="21"/>
      <c r="G89" s="17"/>
      <c r="H89" s="17"/>
      <c r="I89" s="17"/>
    </row>
    <row r="90" customFormat="false" ht="15" hidden="false" customHeight="false" outlineLevel="0" collapsed="false">
      <c r="A90" s="17"/>
      <c r="B90" s="20"/>
      <c r="C90" s="17"/>
      <c r="D90" s="17"/>
      <c r="E90" s="17"/>
      <c r="F90" s="21"/>
      <c r="G90" s="17"/>
      <c r="H90" s="17"/>
      <c r="I90" s="17"/>
    </row>
    <row r="91" customFormat="false" ht="15" hidden="false" customHeight="false" outlineLevel="0" collapsed="false">
      <c r="A91" s="17"/>
      <c r="B91" s="20"/>
      <c r="C91" s="17"/>
      <c r="D91" s="17"/>
      <c r="E91" s="17"/>
      <c r="F91" s="21"/>
      <c r="G91" s="17"/>
      <c r="H91" s="17"/>
      <c r="I91" s="17"/>
    </row>
    <row r="92" customFormat="false" ht="15" hidden="false" customHeight="false" outlineLevel="0" collapsed="false">
      <c r="A92" s="17"/>
      <c r="B92" s="20"/>
      <c r="C92" s="17"/>
      <c r="D92" s="17"/>
      <c r="E92" s="17"/>
      <c r="F92" s="21"/>
      <c r="G92" s="17"/>
      <c r="H92" s="17"/>
      <c r="I92" s="17"/>
    </row>
    <row r="93" customFormat="false" ht="15" hidden="false" customHeight="false" outlineLevel="0" collapsed="false">
      <c r="A93" s="17"/>
      <c r="B93" s="20"/>
      <c r="C93" s="17"/>
      <c r="D93" s="17"/>
      <c r="E93" s="17"/>
      <c r="F93" s="21"/>
      <c r="G93" s="17"/>
      <c r="H93" s="17"/>
      <c r="I93" s="17"/>
    </row>
    <row r="94" customFormat="false" ht="15" hidden="false" customHeight="false" outlineLevel="0" collapsed="false">
      <c r="A94" s="17"/>
      <c r="B94" s="20"/>
      <c r="C94" s="17"/>
      <c r="D94" s="17"/>
      <c r="E94" s="17"/>
      <c r="F94" s="21"/>
      <c r="G94" s="17"/>
      <c r="H94" s="17"/>
      <c r="I94" s="17"/>
    </row>
    <row r="95" customFormat="false" ht="15" hidden="false" customHeight="false" outlineLevel="0" collapsed="false">
      <c r="A95" s="17"/>
      <c r="B95" s="20"/>
      <c r="C95" s="17"/>
      <c r="D95" s="17"/>
      <c r="E95" s="17"/>
      <c r="F95" s="21"/>
      <c r="G95" s="17"/>
      <c r="H95" s="17"/>
      <c r="I95" s="17"/>
    </row>
    <row r="96" customFormat="false" ht="15" hidden="false" customHeight="false" outlineLevel="0" collapsed="false">
      <c r="A96" s="17"/>
      <c r="B96" s="20"/>
      <c r="C96" s="17"/>
      <c r="D96" s="17"/>
      <c r="E96" s="17"/>
      <c r="F96" s="21"/>
      <c r="G96" s="17"/>
      <c r="H96" s="17"/>
      <c r="I96" s="17"/>
    </row>
    <row r="97" customFormat="false" ht="15" hidden="false" customHeight="false" outlineLevel="0" collapsed="false">
      <c r="A97" s="17"/>
      <c r="B97" s="20"/>
      <c r="C97" s="17"/>
      <c r="D97" s="17"/>
      <c r="E97" s="17"/>
      <c r="F97" s="21"/>
      <c r="G97" s="17"/>
      <c r="H97" s="17"/>
      <c r="I97" s="17"/>
    </row>
    <row r="98" customFormat="false" ht="15" hidden="false" customHeight="false" outlineLevel="0" collapsed="false">
      <c r="A98" s="17"/>
      <c r="B98" s="20"/>
      <c r="C98" s="17"/>
      <c r="D98" s="17"/>
      <c r="E98" s="17"/>
      <c r="F98" s="21"/>
      <c r="G98" s="17"/>
      <c r="H98" s="17"/>
      <c r="I98" s="17"/>
    </row>
    <row r="99" customFormat="false" ht="15" hidden="false" customHeight="false" outlineLevel="0" collapsed="false">
      <c r="A99" s="17"/>
      <c r="B99" s="20"/>
      <c r="C99" s="17"/>
      <c r="D99" s="17"/>
      <c r="E99" s="17"/>
      <c r="F99" s="21"/>
      <c r="G99" s="17"/>
      <c r="H99" s="17"/>
      <c r="I99" s="17"/>
    </row>
    <row r="100" customFormat="false" ht="15" hidden="false" customHeight="false" outlineLevel="0" collapsed="false">
      <c r="A100" s="17"/>
      <c r="B100" s="20"/>
      <c r="C100" s="17"/>
      <c r="D100" s="17"/>
      <c r="E100" s="17"/>
      <c r="F100" s="21"/>
      <c r="G100" s="17"/>
      <c r="H100" s="17"/>
      <c r="I100" s="17"/>
    </row>
    <row r="101" customFormat="false" ht="15" hidden="false" customHeight="false" outlineLevel="0" collapsed="false">
      <c r="A101" s="17"/>
      <c r="B101" s="20"/>
      <c r="C101" s="17"/>
      <c r="D101" s="17"/>
      <c r="E101" s="17"/>
      <c r="F101" s="21"/>
      <c r="G101" s="17"/>
      <c r="H101" s="17"/>
      <c r="I101" s="17"/>
    </row>
    <row r="102" customFormat="false" ht="15" hidden="false" customHeight="false" outlineLevel="0" collapsed="false">
      <c r="A102" s="17"/>
      <c r="B102" s="20"/>
      <c r="C102" s="17"/>
      <c r="D102" s="17"/>
      <c r="E102" s="17"/>
      <c r="F102" s="21"/>
      <c r="G102" s="17"/>
      <c r="H102" s="17"/>
      <c r="I102" s="17"/>
    </row>
    <row r="103" customFormat="false" ht="15" hidden="false" customHeight="false" outlineLevel="0" collapsed="false">
      <c r="A103" s="17"/>
      <c r="B103" s="20"/>
      <c r="C103" s="17"/>
      <c r="D103" s="17"/>
      <c r="E103" s="17"/>
      <c r="F103" s="21"/>
      <c r="G103" s="17"/>
      <c r="H103" s="17"/>
      <c r="I103" s="17"/>
    </row>
    <row r="104" customFormat="false" ht="15" hidden="false" customHeight="false" outlineLevel="0" collapsed="false">
      <c r="A104" s="17"/>
      <c r="B104" s="20"/>
      <c r="C104" s="17"/>
      <c r="D104" s="17"/>
      <c r="E104" s="17"/>
      <c r="F104" s="21"/>
      <c r="G104" s="17"/>
      <c r="H104" s="17"/>
      <c r="I104" s="17"/>
    </row>
    <row r="105" customFormat="false" ht="15" hidden="false" customHeight="false" outlineLevel="0" collapsed="false">
      <c r="A105" s="17"/>
      <c r="B105" s="20"/>
      <c r="C105" s="17"/>
      <c r="D105" s="17"/>
      <c r="E105" s="17"/>
      <c r="F105" s="21"/>
      <c r="G105" s="17"/>
      <c r="H105" s="17"/>
      <c r="I105" s="17"/>
    </row>
    <row r="106" customFormat="false" ht="15" hidden="false" customHeight="false" outlineLevel="0" collapsed="false">
      <c r="A106" s="17"/>
      <c r="B106" s="20"/>
      <c r="C106" s="17"/>
      <c r="D106" s="17"/>
      <c r="E106" s="17"/>
      <c r="F106" s="21"/>
      <c r="G106" s="17"/>
      <c r="H106" s="17"/>
      <c r="I106" s="17"/>
    </row>
    <row r="107" customFormat="false" ht="15" hidden="false" customHeight="false" outlineLevel="0" collapsed="false">
      <c r="A107" s="17"/>
      <c r="B107" s="20"/>
      <c r="C107" s="17"/>
      <c r="D107" s="17"/>
      <c r="E107" s="17"/>
      <c r="F107" s="21"/>
      <c r="G107" s="17"/>
      <c r="H107" s="17"/>
      <c r="I107" s="17"/>
    </row>
    <row r="108" customFormat="false" ht="15" hidden="false" customHeight="false" outlineLevel="0" collapsed="false">
      <c r="A108" s="17"/>
      <c r="B108" s="20"/>
      <c r="C108" s="17"/>
      <c r="D108" s="17"/>
      <c r="E108" s="17"/>
      <c r="F108" s="21"/>
      <c r="G108" s="17"/>
      <c r="H108" s="17"/>
      <c r="I108" s="17"/>
    </row>
    <row r="109" customFormat="false" ht="15" hidden="false" customHeight="false" outlineLevel="0" collapsed="false">
      <c r="A109" s="17"/>
      <c r="B109" s="20"/>
      <c r="C109" s="17"/>
      <c r="D109" s="17"/>
      <c r="E109" s="17"/>
      <c r="F109" s="21"/>
      <c r="G109" s="17"/>
      <c r="H109" s="17"/>
      <c r="I109" s="17"/>
    </row>
    <row r="110" customFormat="false" ht="15" hidden="false" customHeight="false" outlineLevel="0" collapsed="false">
      <c r="A110" s="17"/>
      <c r="B110" s="20"/>
      <c r="C110" s="17"/>
      <c r="D110" s="17"/>
      <c r="E110" s="17"/>
      <c r="F110" s="21"/>
      <c r="G110" s="17"/>
      <c r="H110" s="17"/>
      <c r="I110" s="17"/>
    </row>
    <row r="111" customFormat="false" ht="15" hidden="false" customHeight="false" outlineLevel="0" collapsed="false">
      <c r="A111" s="17"/>
      <c r="B111" s="20"/>
      <c r="C111" s="17"/>
      <c r="D111" s="17"/>
      <c r="E111" s="17"/>
      <c r="F111" s="21"/>
      <c r="G111" s="17"/>
      <c r="H111" s="17"/>
      <c r="I111" s="17"/>
    </row>
    <row r="112" customFormat="false" ht="15" hidden="false" customHeight="false" outlineLevel="0" collapsed="false">
      <c r="A112" s="17"/>
      <c r="B112" s="20"/>
      <c r="C112" s="17"/>
      <c r="D112" s="17"/>
      <c r="E112" s="17"/>
      <c r="F112" s="21"/>
      <c r="G112" s="17"/>
      <c r="H112" s="17"/>
      <c r="I112" s="17"/>
    </row>
    <row r="113" customFormat="false" ht="15" hidden="false" customHeight="false" outlineLevel="0" collapsed="false">
      <c r="A113" s="17"/>
      <c r="B113" s="20"/>
      <c r="C113" s="17"/>
      <c r="D113" s="17"/>
      <c r="E113" s="17"/>
      <c r="F113" s="21"/>
      <c r="G113" s="17"/>
      <c r="H113" s="17"/>
      <c r="I113" s="17"/>
    </row>
    <row r="114" customFormat="false" ht="15" hidden="false" customHeight="false" outlineLevel="0" collapsed="false">
      <c r="A114" s="17"/>
      <c r="B114" s="20"/>
      <c r="C114" s="17"/>
      <c r="D114" s="17"/>
      <c r="E114" s="17"/>
      <c r="F114" s="21"/>
      <c r="G114" s="17"/>
      <c r="H114" s="17"/>
      <c r="I114" s="17"/>
    </row>
    <row r="115" customFormat="false" ht="15" hidden="false" customHeight="false" outlineLevel="0" collapsed="false">
      <c r="A115" s="17"/>
      <c r="B115" s="20"/>
      <c r="C115" s="17"/>
      <c r="D115" s="17"/>
      <c r="E115" s="17"/>
      <c r="F115" s="21"/>
      <c r="G115" s="17"/>
      <c r="H115" s="17"/>
      <c r="I115" s="17"/>
    </row>
    <row r="116" customFormat="false" ht="15" hidden="false" customHeight="false" outlineLevel="0" collapsed="false">
      <c r="A116" s="17"/>
      <c r="B116" s="20"/>
      <c r="C116" s="17"/>
      <c r="D116" s="17"/>
      <c r="E116" s="17"/>
      <c r="F116" s="21"/>
      <c r="G116" s="17"/>
      <c r="H116" s="17"/>
      <c r="I116" s="17"/>
    </row>
    <row r="117" customFormat="false" ht="15" hidden="false" customHeight="false" outlineLevel="0" collapsed="false">
      <c r="A117" s="17"/>
      <c r="B117" s="20"/>
      <c r="C117" s="17"/>
      <c r="D117" s="17"/>
      <c r="E117" s="17"/>
      <c r="F117" s="21"/>
      <c r="G117" s="17"/>
      <c r="H117" s="17"/>
      <c r="I117" s="17"/>
    </row>
    <row r="118" customFormat="false" ht="15" hidden="false" customHeight="false" outlineLevel="0" collapsed="false">
      <c r="A118" s="17"/>
      <c r="B118" s="20"/>
      <c r="C118" s="17"/>
      <c r="D118" s="17"/>
      <c r="E118" s="17"/>
      <c r="F118" s="21"/>
      <c r="G118" s="17"/>
      <c r="H118" s="17"/>
      <c r="I118" s="17"/>
    </row>
    <row r="119" customFormat="false" ht="15" hidden="false" customHeight="false" outlineLevel="0" collapsed="false">
      <c r="A119" s="17"/>
      <c r="B119" s="20"/>
      <c r="C119" s="17"/>
      <c r="D119" s="17"/>
      <c r="E119" s="17"/>
      <c r="F119" s="21"/>
      <c r="G119" s="17"/>
      <c r="H119" s="17"/>
      <c r="I119" s="17"/>
    </row>
    <row r="120" customFormat="false" ht="15" hidden="false" customHeight="false" outlineLevel="0" collapsed="false">
      <c r="A120" s="17"/>
      <c r="B120" s="20"/>
      <c r="C120" s="17"/>
      <c r="D120" s="17"/>
      <c r="E120" s="17"/>
      <c r="F120" s="21"/>
      <c r="G120" s="17"/>
      <c r="H120" s="17"/>
      <c r="I120" s="17"/>
    </row>
    <row r="121" customFormat="false" ht="15" hidden="false" customHeight="false" outlineLevel="0" collapsed="false">
      <c r="A121" s="17"/>
      <c r="B121" s="20"/>
      <c r="C121" s="17"/>
      <c r="D121" s="17"/>
      <c r="E121" s="17"/>
      <c r="F121" s="21"/>
      <c r="G121" s="17"/>
      <c r="H121" s="17"/>
      <c r="I121" s="17"/>
    </row>
    <row r="122" customFormat="false" ht="15" hidden="false" customHeight="false" outlineLevel="0" collapsed="false">
      <c r="A122" s="17"/>
      <c r="B122" s="20"/>
      <c r="C122" s="17"/>
      <c r="D122" s="17"/>
      <c r="E122" s="17"/>
      <c r="F122" s="21"/>
      <c r="G122" s="17"/>
      <c r="H122" s="17"/>
      <c r="I122" s="17"/>
    </row>
    <row r="123" customFormat="false" ht="15" hidden="false" customHeight="false" outlineLevel="0" collapsed="false">
      <c r="A123" s="17"/>
      <c r="B123" s="20"/>
      <c r="C123" s="17"/>
      <c r="D123" s="17"/>
      <c r="E123" s="17"/>
      <c r="F123" s="21"/>
      <c r="G123" s="17"/>
      <c r="H123" s="17"/>
      <c r="I123" s="17"/>
    </row>
    <row r="124" customFormat="false" ht="15" hidden="false" customHeight="false" outlineLevel="0" collapsed="false">
      <c r="A124" s="17"/>
      <c r="B124" s="20"/>
      <c r="C124" s="17"/>
      <c r="D124" s="17"/>
      <c r="E124" s="17"/>
      <c r="F124" s="21"/>
      <c r="G124" s="17"/>
      <c r="H124" s="17"/>
      <c r="I124" s="17"/>
    </row>
    <row r="125" customFormat="false" ht="15" hidden="false" customHeight="false" outlineLevel="0" collapsed="false">
      <c r="A125" s="17"/>
      <c r="B125" s="20"/>
      <c r="C125" s="17"/>
      <c r="D125" s="17"/>
      <c r="E125" s="17"/>
      <c r="F125" s="21"/>
      <c r="G125" s="17"/>
      <c r="H125" s="17"/>
      <c r="I125" s="17"/>
    </row>
    <row r="126" customFormat="false" ht="15" hidden="false" customHeight="false" outlineLevel="0" collapsed="false">
      <c r="A126" s="17"/>
      <c r="B126" s="20"/>
      <c r="C126" s="17"/>
      <c r="D126" s="17"/>
      <c r="E126" s="17"/>
      <c r="F126" s="21"/>
      <c r="G126" s="17"/>
      <c r="H126" s="17"/>
      <c r="I126" s="17"/>
    </row>
    <row r="127" customFormat="false" ht="15" hidden="false" customHeight="false" outlineLevel="0" collapsed="false">
      <c r="A127" s="17"/>
      <c r="B127" s="20"/>
      <c r="C127" s="17"/>
      <c r="D127" s="17"/>
      <c r="E127" s="17"/>
      <c r="F127" s="21"/>
      <c r="G127" s="17"/>
      <c r="H127" s="17"/>
      <c r="I127" s="17"/>
    </row>
    <row r="128" customFormat="false" ht="15" hidden="false" customHeight="false" outlineLevel="0" collapsed="false">
      <c r="A128" s="17"/>
      <c r="B128" s="20"/>
      <c r="C128" s="17"/>
      <c r="D128" s="17"/>
      <c r="E128" s="17"/>
      <c r="F128" s="21"/>
      <c r="G128" s="17"/>
      <c r="H128" s="17"/>
      <c r="I128" s="17"/>
    </row>
    <row r="129" customFormat="false" ht="15" hidden="false" customHeight="false" outlineLevel="0" collapsed="false">
      <c r="A129" s="17"/>
      <c r="B129" s="20"/>
      <c r="C129" s="17"/>
      <c r="D129" s="17"/>
      <c r="E129" s="17"/>
      <c r="F129" s="21"/>
      <c r="G129" s="17"/>
      <c r="H129" s="17"/>
      <c r="I129" s="17"/>
    </row>
    <row r="130" customFormat="false" ht="15" hidden="false" customHeight="false" outlineLevel="0" collapsed="false">
      <c r="A130" s="17"/>
      <c r="B130" s="20"/>
      <c r="C130" s="17"/>
      <c r="D130" s="17"/>
      <c r="E130" s="17"/>
      <c r="F130" s="21"/>
      <c r="G130" s="17"/>
      <c r="H130" s="17"/>
      <c r="I130" s="17"/>
    </row>
    <row r="131" customFormat="false" ht="15" hidden="false" customHeight="false" outlineLevel="0" collapsed="false">
      <c r="A131" s="17"/>
      <c r="B131" s="20"/>
      <c r="C131" s="17"/>
      <c r="D131" s="17"/>
      <c r="E131" s="17"/>
      <c r="F131" s="21"/>
      <c r="G131" s="17"/>
      <c r="H131" s="17"/>
      <c r="I131" s="17"/>
    </row>
    <row r="132" customFormat="false" ht="15" hidden="false" customHeight="false" outlineLevel="0" collapsed="false">
      <c r="A132" s="17"/>
      <c r="B132" s="20"/>
      <c r="C132" s="17"/>
      <c r="D132" s="17"/>
      <c r="E132" s="17"/>
      <c r="F132" s="21"/>
      <c r="G132" s="17"/>
      <c r="H132" s="17"/>
      <c r="I132" s="17"/>
    </row>
    <row r="133" customFormat="false" ht="15" hidden="false" customHeight="false" outlineLevel="0" collapsed="false">
      <c r="A133" s="17"/>
      <c r="B133" s="20"/>
      <c r="C133" s="17"/>
      <c r="D133" s="17"/>
      <c r="E133" s="17"/>
      <c r="F133" s="21"/>
      <c r="G133" s="17"/>
      <c r="H133" s="17"/>
      <c r="I133" s="17"/>
    </row>
    <row r="134" customFormat="false" ht="15" hidden="false" customHeight="false" outlineLevel="0" collapsed="false">
      <c r="A134" s="17"/>
      <c r="B134" s="20"/>
      <c r="C134" s="17"/>
      <c r="D134" s="17"/>
      <c r="E134" s="17"/>
      <c r="F134" s="21"/>
      <c r="G134" s="17"/>
      <c r="H134" s="17"/>
      <c r="I134" s="17"/>
    </row>
    <row r="135" customFormat="false" ht="15" hidden="false" customHeight="false" outlineLevel="0" collapsed="false">
      <c r="A135" s="17"/>
      <c r="B135" s="20"/>
      <c r="C135" s="17"/>
      <c r="D135" s="17"/>
      <c r="E135" s="17"/>
      <c r="F135" s="21"/>
      <c r="G135" s="17"/>
      <c r="H135" s="17"/>
      <c r="I135" s="17"/>
    </row>
    <row r="136" customFormat="false" ht="15" hidden="false" customHeight="false" outlineLevel="0" collapsed="false">
      <c r="A136" s="17"/>
      <c r="B136" s="20"/>
      <c r="C136" s="17"/>
      <c r="D136" s="17"/>
      <c r="E136" s="17"/>
      <c r="F136" s="21"/>
      <c r="G136" s="17"/>
      <c r="H136" s="17"/>
      <c r="I136" s="17"/>
    </row>
    <row r="137" customFormat="false" ht="15" hidden="false" customHeight="false" outlineLevel="0" collapsed="false">
      <c r="A137" s="17"/>
      <c r="B137" s="20"/>
      <c r="C137" s="17"/>
      <c r="D137" s="17"/>
      <c r="E137" s="17"/>
      <c r="F137" s="21"/>
      <c r="G137" s="17"/>
      <c r="H137" s="17"/>
      <c r="I137" s="17"/>
    </row>
    <row r="138" customFormat="false" ht="15" hidden="false" customHeight="false" outlineLevel="0" collapsed="false">
      <c r="A138" s="17"/>
      <c r="B138" s="20"/>
      <c r="C138" s="17"/>
      <c r="D138" s="17"/>
      <c r="E138" s="17"/>
      <c r="F138" s="21"/>
      <c r="G138" s="17"/>
      <c r="H138" s="17"/>
      <c r="I138" s="17"/>
    </row>
    <row r="139" customFormat="false" ht="15" hidden="false" customHeight="false" outlineLevel="0" collapsed="false">
      <c r="A139" s="17"/>
      <c r="B139" s="20"/>
      <c r="C139" s="17"/>
      <c r="D139" s="17"/>
      <c r="E139" s="17"/>
      <c r="F139" s="21"/>
      <c r="G139" s="17"/>
      <c r="H139" s="17"/>
      <c r="I139" s="17"/>
    </row>
    <row r="140" customFormat="false" ht="15" hidden="false" customHeight="false" outlineLevel="0" collapsed="false">
      <c r="A140" s="17"/>
      <c r="B140" s="20"/>
      <c r="C140" s="17"/>
      <c r="D140" s="17"/>
      <c r="E140" s="17"/>
      <c r="F140" s="21"/>
      <c r="G140" s="17"/>
      <c r="H140" s="17"/>
      <c r="I140" s="17"/>
    </row>
    <row r="141" customFormat="false" ht="15" hidden="false" customHeight="false" outlineLevel="0" collapsed="false">
      <c r="A141" s="17"/>
      <c r="B141" s="20"/>
      <c r="C141" s="17"/>
      <c r="D141" s="17"/>
      <c r="E141" s="17"/>
      <c r="F141" s="21"/>
      <c r="G141" s="17"/>
      <c r="H141" s="17"/>
      <c r="I141" s="17"/>
    </row>
    <row r="142" customFormat="false" ht="15" hidden="false" customHeight="false" outlineLevel="0" collapsed="false">
      <c r="A142" s="17"/>
      <c r="B142" s="20"/>
      <c r="C142" s="17"/>
      <c r="D142" s="17"/>
      <c r="E142" s="17"/>
      <c r="F142" s="21"/>
      <c r="G142" s="17"/>
      <c r="H142" s="17"/>
      <c r="I142" s="17"/>
    </row>
    <row r="143" customFormat="false" ht="15" hidden="false" customHeight="false" outlineLevel="0" collapsed="false">
      <c r="A143" s="17"/>
      <c r="B143" s="20"/>
      <c r="C143" s="17"/>
      <c r="D143" s="17"/>
      <c r="E143" s="17"/>
      <c r="F143" s="21"/>
      <c r="G143" s="17"/>
      <c r="H143" s="17"/>
      <c r="I143" s="17"/>
    </row>
    <row r="144" customFormat="false" ht="15" hidden="false" customHeight="false" outlineLevel="0" collapsed="false">
      <c r="A144" s="17"/>
      <c r="B144" s="20"/>
      <c r="C144" s="17"/>
      <c r="D144" s="17"/>
      <c r="E144" s="17"/>
      <c r="F144" s="21"/>
      <c r="G144" s="17"/>
      <c r="H144" s="17"/>
      <c r="I144" s="17"/>
    </row>
    <row r="145" customFormat="false" ht="15" hidden="false" customHeight="false" outlineLevel="0" collapsed="false">
      <c r="A145" s="17"/>
      <c r="B145" s="20"/>
      <c r="C145" s="17"/>
      <c r="D145" s="17"/>
      <c r="E145" s="17"/>
      <c r="F145" s="21"/>
      <c r="G145" s="17"/>
      <c r="H145" s="17"/>
      <c r="I145" s="17"/>
    </row>
    <row r="146" customFormat="false" ht="15" hidden="false" customHeight="false" outlineLevel="0" collapsed="false">
      <c r="A146" s="17"/>
      <c r="B146" s="20"/>
      <c r="C146" s="17"/>
      <c r="D146" s="17"/>
      <c r="E146" s="17"/>
      <c r="F146" s="21"/>
      <c r="G146" s="17"/>
      <c r="H146" s="17"/>
      <c r="I146" s="17"/>
    </row>
    <row r="147" customFormat="false" ht="15" hidden="false" customHeight="false" outlineLevel="0" collapsed="false">
      <c r="A147" s="17"/>
      <c r="B147" s="20"/>
      <c r="C147" s="17"/>
      <c r="D147" s="17"/>
      <c r="E147" s="17"/>
      <c r="F147" s="21"/>
      <c r="G147" s="17"/>
      <c r="H147" s="17"/>
      <c r="I147" s="17"/>
    </row>
    <row r="148" customFormat="false" ht="15" hidden="false" customHeight="false" outlineLevel="0" collapsed="false">
      <c r="A148" s="17"/>
      <c r="B148" s="20"/>
      <c r="C148" s="17"/>
      <c r="D148" s="17"/>
      <c r="E148" s="17"/>
      <c r="F148" s="21"/>
      <c r="G148" s="17"/>
      <c r="H148" s="17"/>
      <c r="I148" s="17"/>
    </row>
    <row r="149" customFormat="false" ht="15" hidden="false" customHeight="false" outlineLevel="0" collapsed="false">
      <c r="A149" s="17"/>
      <c r="B149" s="20"/>
      <c r="C149" s="17"/>
      <c r="D149" s="17"/>
      <c r="E149" s="17"/>
      <c r="F149" s="21"/>
      <c r="G149" s="17"/>
      <c r="H149" s="17"/>
      <c r="I149" s="17"/>
    </row>
    <row r="150" customFormat="false" ht="15" hidden="false" customHeight="false" outlineLevel="0" collapsed="false">
      <c r="A150" s="17"/>
      <c r="B150" s="20"/>
      <c r="C150" s="17"/>
      <c r="D150" s="17"/>
      <c r="E150" s="17"/>
      <c r="F150" s="21"/>
      <c r="G150" s="17"/>
      <c r="H150" s="17"/>
      <c r="I150" s="17"/>
    </row>
    <row r="151" customFormat="false" ht="15" hidden="false" customHeight="false" outlineLevel="0" collapsed="false">
      <c r="A151" s="17"/>
      <c r="B151" s="20"/>
      <c r="C151" s="17"/>
      <c r="D151" s="17"/>
      <c r="E151" s="17"/>
      <c r="F151" s="21"/>
      <c r="G151" s="17"/>
      <c r="H151" s="17"/>
      <c r="I151" s="17"/>
    </row>
    <row r="152" customFormat="false" ht="15" hidden="false" customHeight="false" outlineLevel="0" collapsed="false">
      <c r="A152" s="17"/>
      <c r="B152" s="20"/>
      <c r="C152" s="17"/>
      <c r="D152" s="17"/>
      <c r="E152" s="17"/>
      <c r="F152" s="21"/>
      <c r="G152" s="17"/>
      <c r="H152" s="17"/>
      <c r="I152" s="17"/>
    </row>
    <row r="153" customFormat="false" ht="15" hidden="false" customHeight="false" outlineLevel="0" collapsed="false">
      <c r="A153" s="17"/>
      <c r="B153" s="20"/>
      <c r="C153" s="17"/>
      <c r="D153" s="17"/>
      <c r="E153" s="17"/>
      <c r="F153" s="21"/>
      <c r="G153" s="17"/>
      <c r="H153" s="17"/>
      <c r="I153" s="17"/>
    </row>
    <row r="154" customFormat="false" ht="15" hidden="false" customHeight="false" outlineLevel="0" collapsed="false">
      <c r="A154" s="17"/>
      <c r="B154" s="20"/>
      <c r="C154" s="17"/>
      <c r="D154" s="17"/>
      <c r="E154" s="17"/>
      <c r="F154" s="21"/>
      <c r="G154" s="17"/>
      <c r="H154" s="17"/>
      <c r="I154" s="17"/>
    </row>
    <row r="155" customFormat="false" ht="15" hidden="false" customHeight="false" outlineLevel="0" collapsed="false">
      <c r="A155" s="17"/>
      <c r="B155" s="20"/>
      <c r="C155" s="17"/>
      <c r="D155" s="17"/>
      <c r="E155" s="17"/>
      <c r="F155" s="21"/>
      <c r="G155" s="17"/>
      <c r="H155" s="17"/>
      <c r="I155" s="17"/>
    </row>
    <row r="156" customFormat="false" ht="15" hidden="false" customHeight="false" outlineLevel="0" collapsed="false">
      <c r="A156" s="17"/>
      <c r="B156" s="20"/>
      <c r="C156" s="17"/>
      <c r="D156" s="17"/>
      <c r="E156" s="17"/>
      <c r="F156" s="21"/>
      <c r="G156" s="17"/>
      <c r="H156" s="17"/>
      <c r="I156" s="17"/>
    </row>
    <row r="157" customFormat="false" ht="15" hidden="false" customHeight="false" outlineLevel="0" collapsed="false">
      <c r="A157" s="17"/>
      <c r="B157" s="20"/>
      <c r="C157" s="17"/>
      <c r="D157" s="17"/>
      <c r="E157" s="17"/>
      <c r="F157" s="21"/>
      <c r="G157" s="17"/>
      <c r="H157" s="17"/>
      <c r="I157" s="17"/>
    </row>
    <row r="158" customFormat="false" ht="15" hidden="false" customHeight="false" outlineLevel="0" collapsed="false">
      <c r="A158" s="17"/>
      <c r="B158" s="20"/>
      <c r="C158" s="17"/>
      <c r="D158" s="17"/>
      <c r="E158" s="17"/>
      <c r="F158" s="21"/>
      <c r="G158" s="17"/>
      <c r="H158" s="17"/>
      <c r="I158" s="17"/>
    </row>
    <row r="159" customFormat="false" ht="15" hidden="false" customHeight="false" outlineLevel="0" collapsed="false">
      <c r="A159" s="17"/>
      <c r="B159" s="20"/>
      <c r="C159" s="17"/>
      <c r="D159" s="17"/>
      <c r="E159" s="17"/>
      <c r="F159" s="21"/>
      <c r="G159" s="17"/>
      <c r="H159" s="17"/>
      <c r="I159" s="17"/>
    </row>
    <row r="160" customFormat="false" ht="15" hidden="false" customHeight="false" outlineLevel="0" collapsed="false">
      <c r="A160" s="17"/>
      <c r="B160" s="20"/>
      <c r="C160" s="17"/>
      <c r="D160" s="17"/>
      <c r="E160" s="17"/>
      <c r="F160" s="21"/>
      <c r="G160" s="17"/>
      <c r="H160" s="17"/>
      <c r="I160" s="17"/>
    </row>
    <row r="161" customFormat="false" ht="15" hidden="false" customHeight="false" outlineLevel="0" collapsed="false">
      <c r="A161" s="17"/>
      <c r="B161" s="20"/>
      <c r="C161" s="17"/>
      <c r="D161" s="17"/>
      <c r="E161" s="17"/>
      <c r="F161" s="21"/>
      <c r="G161" s="17"/>
      <c r="H161" s="17"/>
      <c r="I161" s="17"/>
    </row>
    <row r="162" customFormat="false" ht="15" hidden="false" customHeight="false" outlineLevel="0" collapsed="false">
      <c r="A162" s="17"/>
      <c r="B162" s="20"/>
      <c r="C162" s="17"/>
      <c r="D162" s="17"/>
      <c r="E162" s="17"/>
      <c r="F162" s="21"/>
      <c r="G162" s="17"/>
      <c r="H162" s="17"/>
      <c r="I162" s="17"/>
    </row>
    <row r="163" customFormat="false" ht="15" hidden="false" customHeight="false" outlineLevel="0" collapsed="false">
      <c r="A163" s="17"/>
      <c r="B163" s="20"/>
      <c r="C163" s="17"/>
      <c r="D163" s="17"/>
      <c r="E163" s="17"/>
      <c r="F163" s="21"/>
      <c r="G163" s="17"/>
      <c r="H163" s="17"/>
      <c r="I163" s="17"/>
    </row>
    <row r="164" customFormat="false" ht="15" hidden="false" customHeight="false" outlineLevel="0" collapsed="false">
      <c r="A164" s="17"/>
      <c r="B164" s="20"/>
      <c r="C164" s="17"/>
      <c r="D164" s="17"/>
      <c r="E164" s="17"/>
      <c r="F164" s="21"/>
      <c r="G164" s="17"/>
      <c r="H164" s="17"/>
      <c r="I164" s="17"/>
    </row>
    <row r="165" customFormat="false" ht="15" hidden="false" customHeight="false" outlineLevel="0" collapsed="false">
      <c r="A165" s="17"/>
      <c r="B165" s="20"/>
      <c r="C165" s="17"/>
      <c r="D165" s="17"/>
      <c r="E165" s="17"/>
      <c r="F165" s="21"/>
      <c r="G165" s="17"/>
      <c r="H165" s="17"/>
      <c r="I165" s="17"/>
    </row>
    <row r="166" customFormat="false" ht="15" hidden="false" customHeight="false" outlineLevel="0" collapsed="false">
      <c r="A166" s="17"/>
      <c r="B166" s="20"/>
      <c r="C166" s="17"/>
      <c r="D166" s="17"/>
      <c r="E166" s="17"/>
      <c r="F166" s="21"/>
      <c r="G166" s="17"/>
      <c r="H166" s="17"/>
      <c r="I166" s="17"/>
    </row>
    <row r="167" customFormat="false" ht="15" hidden="false" customHeight="false" outlineLevel="0" collapsed="false">
      <c r="A167" s="17"/>
      <c r="B167" s="20"/>
      <c r="C167" s="17"/>
      <c r="D167" s="17"/>
      <c r="E167" s="17"/>
      <c r="F167" s="21"/>
      <c r="G167" s="17"/>
      <c r="H167" s="17"/>
      <c r="I167" s="17"/>
    </row>
    <row r="168" customFormat="false" ht="15" hidden="false" customHeight="false" outlineLevel="0" collapsed="false">
      <c r="A168" s="17"/>
      <c r="B168" s="20"/>
      <c r="C168" s="17"/>
      <c r="D168" s="17"/>
      <c r="E168" s="17"/>
      <c r="F168" s="21"/>
      <c r="G168" s="17"/>
      <c r="H168" s="17"/>
      <c r="I168" s="17"/>
    </row>
    <row r="169" customFormat="false" ht="15" hidden="false" customHeight="false" outlineLevel="0" collapsed="false">
      <c r="A169" s="17"/>
      <c r="B169" s="20"/>
      <c r="C169" s="17"/>
      <c r="D169" s="17"/>
      <c r="E169" s="17"/>
      <c r="F169" s="21"/>
      <c r="G169" s="17"/>
      <c r="H169" s="17"/>
      <c r="I169" s="17"/>
    </row>
    <row r="170" customFormat="false" ht="15" hidden="false" customHeight="false" outlineLevel="0" collapsed="false">
      <c r="A170" s="17"/>
      <c r="B170" s="20"/>
      <c r="C170" s="17"/>
      <c r="D170" s="17"/>
      <c r="E170" s="17"/>
      <c r="F170" s="21"/>
      <c r="G170" s="17"/>
      <c r="H170" s="17"/>
      <c r="I170" s="17"/>
    </row>
    <row r="171" customFormat="false" ht="15" hidden="false" customHeight="false" outlineLevel="0" collapsed="false">
      <c r="A171" s="17"/>
      <c r="B171" s="20"/>
      <c r="C171" s="17"/>
      <c r="D171" s="17"/>
      <c r="E171" s="17"/>
      <c r="F171" s="21"/>
      <c r="G171" s="17"/>
      <c r="H171" s="17"/>
      <c r="I171" s="17"/>
    </row>
    <row r="172" customFormat="false" ht="15" hidden="false" customHeight="false" outlineLevel="0" collapsed="false">
      <c r="A172" s="17"/>
      <c r="B172" s="20"/>
      <c r="C172" s="17"/>
      <c r="D172" s="17"/>
      <c r="E172" s="17"/>
      <c r="F172" s="21"/>
      <c r="G172" s="17"/>
      <c r="H172" s="17"/>
      <c r="I172" s="17"/>
    </row>
    <row r="173" customFormat="false" ht="15" hidden="false" customHeight="false" outlineLevel="0" collapsed="false">
      <c r="A173" s="17"/>
      <c r="B173" s="20"/>
      <c r="C173" s="17"/>
      <c r="D173" s="17"/>
      <c r="E173" s="17"/>
      <c r="F173" s="21"/>
      <c r="G173" s="17"/>
      <c r="H173" s="17"/>
      <c r="I173" s="17"/>
    </row>
    <row r="174" customFormat="false" ht="15" hidden="false" customHeight="false" outlineLevel="0" collapsed="false">
      <c r="A174" s="17"/>
      <c r="B174" s="20"/>
      <c r="C174" s="17"/>
      <c r="D174" s="17"/>
      <c r="E174" s="17"/>
      <c r="F174" s="21"/>
      <c r="G174" s="17"/>
      <c r="H174" s="17"/>
      <c r="I174" s="17"/>
    </row>
    <row r="175" customFormat="false" ht="15" hidden="false" customHeight="false" outlineLevel="0" collapsed="false">
      <c r="A175" s="17"/>
      <c r="B175" s="20"/>
      <c r="C175" s="17"/>
      <c r="D175" s="17"/>
      <c r="E175" s="17"/>
      <c r="F175" s="21"/>
      <c r="G175" s="17"/>
      <c r="H175" s="17"/>
      <c r="I175" s="17"/>
    </row>
    <row r="176" customFormat="false" ht="15" hidden="false" customHeight="false" outlineLevel="0" collapsed="false">
      <c r="A176" s="17"/>
      <c r="B176" s="20"/>
      <c r="C176" s="17"/>
      <c r="D176" s="17"/>
      <c r="E176" s="17"/>
      <c r="F176" s="21"/>
      <c r="G176" s="17"/>
      <c r="H176" s="17"/>
      <c r="I176" s="17"/>
    </row>
    <row r="177" customFormat="false" ht="15" hidden="false" customHeight="false" outlineLevel="0" collapsed="false">
      <c r="A177" s="17"/>
      <c r="B177" s="20"/>
      <c r="C177" s="17"/>
      <c r="D177" s="17"/>
      <c r="E177" s="17"/>
      <c r="F177" s="21"/>
      <c r="G177" s="17"/>
      <c r="H177" s="17"/>
      <c r="I177" s="17"/>
    </row>
    <row r="178" customFormat="false" ht="15" hidden="false" customHeight="false" outlineLevel="0" collapsed="false">
      <c r="A178" s="17"/>
      <c r="B178" s="20"/>
      <c r="C178" s="17"/>
      <c r="D178" s="17"/>
      <c r="E178" s="17"/>
      <c r="F178" s="21"/>
      <c r="G178" s="17"/>
      <c r="H178" s="17"/>
      <c r="I178" s="17"/>
    </row>
    <row r="179" customFormat="false" ht="15" hidden="false" customHeight="false" outlineLevel="0" collapsed="false">
      <c r="A179" s="17"/>
      <c r="B179" s="20"/>
      <c r="C179" s="17"/>
      <c r="D179" s="17"/>
      <c r="E179" s="17"/>
      <c r="F179" s="21"/>
      <c r="G179" s="17"/>
      <c r="H179" s="17"/>
      <c r="I179" s="17"/>
    </row>
    <row r="180" customFormat="false" ht="15" hidden="false" customHeight="false" outlineLevel="0" collapsed="false">
      <c r="A180" s="17"/>
      <c r="B180" s="20"/>
      <c r="C180" s="17"/>
      <c r="D180" s="17"/>
      <c r="E180" s="17"/>
      <c r="F180" s="21"/>
      <c r="G180" s="17"/>
      <c r="H180" s="17"/>
      <c r="I180" s="17"/>
    </row>
    <row r="181" customFormat="false" ht="15" hidden="false" customHeight="false" outlineLevel="0" collapsed="false">
      <c r="A181" s="17"/>
      <c r="B181" s="20"/>
      <c r="C181" s="17"/>
      <c r="D181" s="17"/>
      <c r="E181" s="17"/>
      <c r="F181" s="21"/>
      <c r="G181" s="17"/>
      <c r="H181" s="17"/>
      <c r="I181" s="17"/>
    </row>
    <row r="182" customFormat="false" ht="15" hidden="false" customHeight="false" outlineLevel="0" collapsed="false">
      <c r="A182" s="17"/>
      <c r="B182" s="20"/>
      <c r="C182" s="17"/>
      <c r="D182" s="17"/>
      <c r="E182" s="17"/>
      <c r="F182" s="21"/>
      <c r="G182" s="17"/>
      <c r="H182" s="17"/>
      <c r="I182" s="17"/>
    </row>
    <row r="183" customFormat="false" ht="15" hidden="false" customHeight="false" outlineLevel="0" collapsed="false">
      <c r="A183" s="17"/>
      <c r="B183" s="20"/>
      <c r="C183" s="17"/>
      <c r="D183" s="17"/>
      <c r="E183" s="17"/>
      <c r="F183" s="21"/>
      <c r="G183" s="17"/>
      <c r="H183" s="17"/>
      <c r="I183" s="17"/>
    </row>
    <row r="184" customFormat="false" ht="15" hidden="false" customHeight="false" outlineLevel="0" collapsed="false">
      <c r="A184" s="17"/>
      <c r="B184" s="20"/>
      <c r="C184" s="17"/>
      <c r="D184" s="17"/>
      <c r="E184" s="17"/>
      <c r="F184" s="21"/>
      <c r="G184" s="17"/>
      <c r="H184" s="17"/>
      <c r="I184" s="17"/>
    </row>
    <row r="185" customFormat="false" ht="15" hidden="false" customHeight="false" outlineLevel="0" collapsed="false">
      <c r="A185" s="17"/>
      <c r="B185" s="20"/>
      <c r="C185" s="17"/>
      <c r="D185" s="17"/>
      <c r="E185" s="17"/>
      <c r="F185" s="21"/>
      <c r="G185" s="17"/>
      <c r="H185" s="17"/>
      <c r="I185" s="17"/>
    </row>
    <row r="186" customFormat="false" ht="15" hidden="false" customHeight="false" outlineLevel="0" collapsed="false">
      <c r="A186" s="17"/>
      <c r="B186" s="20"/>
      <c r="C186" s="17"/>
      <c r="D186" s="17"/>
      <c r="E186" s="17"/>
      <c r="F186" s="21"/>
      <c r="G186" s="17"/>
      <c r="H186" s="17"/>
      <c r="I186" s="17"/>
    </row>
    <row r="187" customFormat="false" ht="15" hidden="false" customHeight="false" outlineLevel="0" collapsed="false">
      <c r="A187" s="17"/>
      <c r="B187" s="20"/>
      <c r="C187" s="17"/>
      <c r="D187" s="17"/>
      <c r="E187" s="17"/>
      <c r="F187" s="21"/>
      <c r="G187" s="17"/>
      <c r="H187" s="17"/>
      <c r="I187" s="17"/>
    </row>
    <row r="188" customFormat="false" ht="15" hidden="false" customHeight="false" outlineLevel="0" collapsed="false">
      <c r="A188" s="17"/>
      <c r="B188" s="20"/>
      <c r="C188" s="17"/>
      <c r="D188" s="17"/>
      <c r="E188" s="17"/>
      <c r="F188" s="21"/>
      <c r="G188" s="17"/>
      <c r="H188" s="17"/>
      <c r="I188" s="17"/>
    </row>
    <row r="189" customFormat="false" ht="15" hidden="false" customHeight="false" outlineLevel="0" collapsed="false">
      <c r="A189" s="17"/>
      <c r="B189" s="20"/>
      <c r="C189" s="17"/>
      <c r="D189" s="17"/>
      <c r="E189" s="17"/>
      <c r="F189" s="21"/>
      <c r="G189" s="17"/>
      <c r="H189" s="17"/>
      <c r="I189" s="17"/>
    </row>
    <row r="190" customFormat="false" ht="15" hidden="false" customHeight="false" outlineLevel="0" collapsed="false">
      <c r="A190" s="17"/>
      <c r="B190" s="20"/>
      <c r="C190" s="17"/>
      <c r="D190" s="17"/>
      <c r="E190" s="17"/>
      <c r="F190" s="21"/>
      <c r="G190" s="17"/>
      <c r="H190" s="17"/>
      <c r="I190" s="17"/>
    </row>
    <row r="191" customFormat="false" ht="15" hidden="false" customHeight="false" outlineLevel="0" collapsed="false">
      <c r="A191" s="17"/>
      <c r="B191" s="20"/>
      <c r="C191" s="17"/>
      <c r="D191" s="17"/>
      <c r="E191" s="17"/>
      <c r="F191" s="21"/>
      <c r="G191" s="17"/>
      <c r="H191" s="17"/>
      <c r="I191" s="17"/>
    </row>
    <row r="192" customFormat="false" ht="15" hidden="false" customHeight="false" outlineLevel="0" collapsed="false">
      <c r="A192" s="17"/>
      <c r="B192" s="20"/>
      <c r="C192" s="17"/>
      <c r="D192" s="17"/>
      <c r="E192" s="17"/>
      <c r="F192" s="21"/>
      <c r="G192" s="17"/>
      <c r="H192" s="17"/>
      <c r="I192" s="17"/>
    </row>
    <row r="193" customFormat="false" ht="15" hidden="false" customHeight="false" outlineLevel="0" collapsed="false">
      <c r="A193" s="17"/>
      <c r="B193" s="20"/>
      <c r="C193" s="17"/>
      <c r="D193" s="17"/>
      <c r="E193" s="17"/>
      <c r="F193" s="21"/>
      <c r="G193" s="17"/>
      <c r="H193" s="17"/>
      <c r="I193" s="17"/>
    </row>
    <row r="194" customFormat="false" ht="15" hidden="false" customHeight="false" outlineLevel="0" collapsed="false">
      <c r="A194" s="17"/>
      <c r="B194" s="20"/>
      <c r="C194" s="17"/>
      <c r="D194" s="17"/>
      <c r="E194" s="17"/>
      <c r="F194" s="21"/>
      <c r="G194" s="17"/>
      <c r="H194" s="17"/>
      <c r="I194" s="17"/>
    </row>
    <row r="195" customFormat="false" ht="15" hidden="false" customHeight="false" outlineLevel="0" collapsed="false">
      <c r="A195" s="17"/>
      <c r="B195" s="20"/>
      <c r="C195" s="17"/>
      <c r="D195" s="17"/>
      <c r="E195" s="17"/>
      <c r="F195" s="21"/>
      <c r="G195" s="17"/>
      <c r="H195" s="17"/>
      <c r="I195" s="17"/>
    </row>
    <row r="196" customFormat="false" ht="15" hidden="false" customHeight="false" outlineLevel="0" collapsed="false">
      <c r="A196" s="17"/>
      <c r="B196" s="20"/>
      <c r="C196" s="17"/>
      <c r="D196" s="17"/>
      <c r="E196" s="17"/>
      <c r="F196" s="21"/>
      <c r="G196" s="17"/>
      <c r="H196" s="17"/>
      <c r="I196" s="17"/>
    </row>
    <row r="197" customFormat="false" ht="15" hidden="false" customHeight="false" outlineLevel="0" collapsed="false">
      <c r="A197" s="17"/>
      <c r="B197" s="20"/>
      <c r="C197" s="17"/>
      <c r="D197" s="17"/>
      <c r="E197" s="17"/>
      <c r="F197" s="21"/>
      <c r="G197" s="17"/>
      <c r="H197" s="17"/>
      <c r="I197" s="17"/>
    </row>
    <row r="198" customFormat="false" ht="15" hidden="false" customHeight="false" outlineLevel="0" collapsed="false">
      <c r="A198" s="17"/>
      <c r="B198" s="20"/>
      <c r="C198" s="17"/>
      <c r="D198" s="17"/>
      <c r="E198" s="17"/>
      <c r="F198" s="21"/>
      <c r="G198" s="17"/>
      <c r="H198" s="17"/>
      <c r="I198" s="17"/>
    </row>
    <row r="199" customFormat="false" ht="15" hidden="false" customHeight="false" outlineLevel="0" collapsed="false">
      <c r="A199" s="17"/>
      <c r="B199" s="20"/>
      <c r="C199" s="17"/>
      <c r="D199" s="17"/>
      <c r="E199" s="17"/>
      <c r="F199" s="21"/>
      <c r="G199" s="17"/>
      <c r="H199" s="17"/>
      <c r="I199" s="17"/>
    </row>
    <row r="200" customFormat="false" ht="15" hidden="false" customHeight="false" outlineLevel="0" collapsed="false">
      <c r="A200" s="17"/>
      <c r="B200" s="20"/>
      <c r="C200" s="17"/>
      <c r="D200" s="17"/>
      <c r="E200" s="17"/>
      <c r="F200" s="21"/>
      <c r="G200" s="17"/>
      <c r="H200" s="17"/>
      <c r="I200" s="17"/>
    </row>
    <row r="201" customFormat="false" ht="15" hidden="false" customHeight="false" outlineLevel="0" collapsed="false">
      <c r="A201" s="17"/>
      <c r="B201" s="20"/>
      <c r="C201" s="17"/>
      <c r="D201" s="17"/>
      <c r="E201" s="17"/>
      <c r="F201" s="21"/>
      <c r="G201" s="17"/>
      <c r="H201" s="17"/>
      <c r="I201" s="17"/>
    </row>
    <row r="202" customFormat="false" ht="15" hidden="false" customHeight="false" outlineLevel="0" collapsed="false">
      <c r="A202" s="17"/>
      <c r="B202" s="20"/>
      <c r="C202" s="17"/>
      <c r="D202" s="17"/>
      <c r="E202" s="17"/>
      <c r="F202" s="21"/>
      <c r="G202" s="17"/>
      <c r="H202" s="17"/>
      <c r="I202" s="17"/>
    </row>
    <row r="203" customFormat="false" ht="15" hidden="false" customHeight="false" outlineLevel="0" collapsed="false">
      <c r="A203" s="17"/>
      <c r="B203" s="20"/>
      <c r="C203" s="17"/>
      <c r="D203" s="17"/>
      <c r="E203" s="17"/>
      <c r="F203" s="21"/>
      <c r="G203" s="17"/>
      <c r="H203" s="17"/>
      <c r="I203" s="17"/>
    </row>
    <row r="204" customFormat="false" ht="15" hidden="false" customHeight="false" outlineLevel="0" collapsed="false">
      <c r="A204" s="17"/>
      <c r="B204" s="20"/>
      <c r="C204" s="17"/>
      <c r="D204" s="17"/>
      <c r="E204" s="17"/>
      <c r="F204" s="21"/>
      <c r="G204" s="17"/>
      <c r="H204" s="17"/>
      <c r="I204" s="17"/>
    </row>
    <row r="205" customFormat="false" ht="15" hidden="false" customHeight="false" outlineLevel="0" collapsed="false">
      <c r="A205" s="17"/>
      <c r="B205" s="20"/>
      <c r="C205" s="17"/>
      <c r="D205" s="17"/>
      <c r="E205" s="17"/>
      <c r="F205" s="21"/>
      <c r="G205" s="17"/>
      <c r="H205" s="17"/>
      <c r="I205" s="17"/>
    </row>
    <row r="206" customFormat="false" ht="15" hidden="false" customHeight="false" outlineLevel="0" collapsed="false">
      <c r="A206" s="17"/>
      <c r="B206" s="20"/>
      <c r="C206" s="17"/>
      <c r="D206" s="17"/>
      <c r="E206" s="17"/>
      <c r="F206" s="21"/>
      <c r="G206" s="17"/>
      <c r="H206" s="17"/>
      <c r="I206" s="17"/>
    </row>
    <row r="207" customFormat="false" ht="15" hidden="false" customHeight="false" outlineLevel="0" collapsed="false">
      <c r="A207" s="17"/>
      <c r="B207" s="20"/>
      <c r="C207" s="17"/>
      <c r="D207" s="17"/>
      <c r="E207" s="17"/>
      <c r="F207" s="21"/>
      <c r="G207" s="17"/>
      <c r="H207" s="17"/>
      <c r="I207" s="17"/>
    </row>
    <row r="208" customFormat="false" ht="15" hidden="false" customHeight="false" outlineLevel="0" collapsed="false">
      <c r="A208" s="17"/>
      <c r="B208" s="20"/>
      <c r="C208" s="17"/>
      <c r="D208" s="17"/>
      <c r="E208" s="17"/>
      <c r="F208" s="21"/>
      <c r="G208" s="17"/>
      <c r="H208" s="17"/>
      <c r="I208" s="17"/>
    </row>
    <row r="209" customFormat="false" ht="15" hidden="false" customHeight="false" outlineLevel="0" collapsed="false">
      <c r="A209" s="17"/>
      <c r="B209" s="20"/>
      <c r="C209" s="17"/>
      <c r="D209" s="17"/>
      <c r="E209" s="17"/>
      <c r="F209" s="21"/>
      <c r="G209" s="17"/>
      <c r="H209" s="17"/>
      <c r="I209" s="17"/>
    </row>
    <row r="210" customFormat="false" ht="15" hidden="false" customHeight="false" outlineLevel="0" collapsed="false">
      <c r="A210" s="17"/>
      <c r="B210" s="20"/>
      <c r="C210" s="17"/>
      <c r="D210" s="17"/>
      <c r="E210" s="17"/>
      <c r="F210" s="21"/>
      <c r="G210" s="17"/>
      <c r="H210" s="17"/>
      <c r="I210" s="17"/>
    </row>
    <row r="211" customFormat="false" ht="15" hidden="false" customHeight="false" outlineLevel="0" collapsed="false">
      <c r="A211" s="17"/>
      <c r="B211" s="20"/>
      <c r="C211" s="17"/>
      <c r="D211" s="17"/>
      <c r="E211" s="17"/>
      <c r="F211" s="21"/>
      <c r="G211" s="17"/>
      <c r="H211" s="17"/>
      <c r="I211" s="17"/>
    </row>
    <row r="212" customFormat="false" ht="15" hidden="false" customHeight="false" outlineLevel="0" collapsed="false">
      <c r="A212" s="17"/>
      <c r="B212" s="20"/>
      <c r="C212" s="17"/>
      <c r="D212" s="17"/>
      <c r="E212" s="17"/>
      <c r="F212" s="21"/>
      <c r="G212" s="17"/>
      <c r="H212" s="17"/>
      <c r="I212" s="17"/>
    </row>
    <row r="213" customFormat="false" ht="15" hidden="false" customHeight="false" outlineLevel="0" collapsed="false">
      <c r="A213" s="17"/>
      <c r="B213" s="20"/>
      <c r="C213" s="17"/>
      <c r="D213" s="17"/>
      <c r="E213" s="17"/>
      <c r="F213" s="21"/>
      <c r="G213" s="17"/>
      <c r="H213" s="17"/>
      <c r="I213" s="17"/>
    </row>
    <row r="214" customFormat="false" ht="15" hidden="false" customHeight="false" outlineLevel="0" collapsed="false">
      <c r="A214" s="17"/>
      <c r="B214" s="20"/>
      <c r="C214" s="17"/>
      <c r="D214" s="17"/>
      <c r="E214" s="17"/>
      <c r="F214" s="21"/>
      <c r="G214" s="17"/>
      <c r="H214" s="17"/>
      <c r="I214" s="17"/>
    </row>
    <row r="215" customFormat="false" ht="15" hidden="false" customHeight="false" outlineLevel="0" collapsed="false">
      <c r="A215" s="17"/>
      <c r="B215" s="20"/>
      <c r="C215" s="17"/>
      <c r="D215" s="17"/>
      <c r="E215" s="17"/>
      <c r="F215" s="21"/>
      <c r="G215" s="17"/>
      <c r="H215" s="17"/>
      <c r="I215" s="17"/>
    </row>
    <row r="216" customFormat="false" ht="15" hidden="false" customHeight="false" outlineLevel="0" collapsed="false">
      <c r="A216" s="17"/>
      <c r="B216" s="20"/>
      <c r="C216" s="17"/>
      <c r="D216" s="17"/>
      <c r="E216" s="17"/>
      <c r="F216" s="21"/>
      <c r="G216" s="17"/>
      <c r="H216" s="17"/>
      <c r="I216" s="17"/>
    </row>
    <row r="217" customFormat="false" ht="15" hidden="false" customHeight="false" outlineLevel="0" collapsed="false">
      <c r="A217" s="17"/>
      <c r="B217" s="20"/>
      <c r="C217" s="17"/>
      <c r="D217" s="17"/>
      <c r="E217" s="17"/>
      <c r="F217" s="21"/>
      <c r="G217" s="17"/>
      <c r="H217" s="17"/>
      <c r="I217" s="17"/>
    </row>
    <row r="218" customFormat="false" ht="15" hidden="false" customHeight="false" outlineLevel="0" collapsed="false">
      <c r="A218" s="17"/>
      <c r="B218" s="20"/>
      <c r="C218" s="17"/>
      <c r="D218" s="17"/>
      <c r="E218" s="17"/>
      <c r="F218" s="21"/>
      <c r="G218" s="17"/>
      <c r="H218" s="17"/>
      <c r="I218" s="17"/>
    </row>
    <row r="219" customFormat="false" ht="15" hidden="false" customHeight="false" outlineLevel="0" collapsed="false">
      <c r="A219" s="17"/>
      <c r="B219" s="20"/>
      <c r="C219" s="17"/>
      <c r="D219" s="17"/>
      <c r="E219" s="17"/>
      <c r="F219" s="21"/>
      <c r="G219" s="17"/>
      <c r="H219" s="17"/>
      <c r="I219" s="17"/>
    </row>
    <row r="220" customFormat="false" ht="15" hidden="false" customHeight="false" outlineLevel="0" collapsed="false">
      <c r="A220" s="17"/>
      <c r="B220" s="20"/>
      <c r="C220" s="17"/>
      <c r="D220" s="17"/>
      <c r="E220" s="17"/>
      <c r="F220" s="21"/>
      <c r="G220" s="17"/>
      <c r="H220" s="17"/>
      <c r="I220" s="17"/>
    </row>
    <row r="221" customFormat="false" ht="15" hidden="false" customHeight="false" outlineLevel="0" collapsed="false">
      <c r="A221" s="17"/>
      <c r="B221" s="20"/>
      <c r="C221" s="17"/>
      <c r="D221" s="17"/>
      <c r="E221" s="17"/>
      <c r="F221" s="21"/>
      <c r="G221" s="17"/>
      <c r="H221" s="17"/>
      <c r="I221" s="17"/>
    </row>
    <row r="222" customFormat="false" ht="15" hidden="false" customHeight="false" outlineLevel="0" collapsed="false">
      <c r="A222" s="17"/>
      <c r="B222" s="20"/>
      <c r="C222" s="17"/>
      <c r="D222" s="17"/>
      <c r="E222" s="17"/>
      <c r="F222" s="21"/>
      <c r="G222" s="17"/>
      <c r="H222" s="17"/>
      <c r="I222" s="17"/>
    </row>
    <row r="223" customFormat="false" ht="15" hidden="false" customHeight="false" outlineLevel="0" collapsed="false">
      <c r="A223" s="17"/>
      <c r="B223" s="20"/>
      <c r="C223" s="17"/>
      <c r="D223" s="17"/>
      <c r="E223" s="17"/>
      <c r="F223" s="21"/>
      <c r="G223" s="17"/>
      <c r="H223" s="17"/>
      <c r="I223" s="17"/>
    </row>
    <row r="224" customFormat="false" ht="15" hidden="false" customHeight="false" outlineLevel="0" collapsed="false">
      <c r="A224" s="17"/>
      <c r="B224" s="20"/>
      <c r="C224" s="17"/>
      <c r="D224" s="17"/>
      <c r="E224" s="17"/>
      <c r="F224" s="21"/>
      <c r="G224" s="17"/>
      <c r="H224" s="17"/>
      <c r="I224" s="17"/>
    </row>
    <row r="225" customFormat="false" ht="15" hidden="false" customHeight="false" outlineLevel="0" collapsed="false">
      <c r="A225" s="17"/>
      <c r="B225" s="20"/>
      <c r="C225" s="17"/>
      <c r="D225" s="17"/>
      <c r="E225" s="17"/>
      <c r="F225" s="21"/>
      <c r="G225" s="17"/>
      <c r="H225" s="17"/>
      <c r="I225" s="17"/>
    </row>
    <row r="226" customFormat="false" ht="15" hidden="false" customHeight="false" outlineLevel="0" collapsed="false">
      <c r="A226" s="17"/>
      <c r="B226" s="20"/>
      <c r="C226" s="17"/>
      <c r="D226" s="17"/>
      <c r="E226" s="17"/>
      <c r="F226" s="21"/>
      <c r="G226" s="17"/>
      <c r="H226" s="17"/>
      <c r="I226" s="17"/>
    </row>
    <row r="227" customFormat="false" ht="15" hidden="false" customHeight="false" outlineLevel="0" collapsed="false">
      <c r="A227" s="17"/>
      <c r="B227" s="20"/>
      <c r="C227" s="17"/>
      <c r="D227" s="17"/>
      <c r="E227" s="17"/>
      <c r="F227" s="21"/>
      <c r="G227" s="17"/>
      <c r="H227" s="17"/>
      <c r="I227" s="17"/>
    </row>
    <row r="228" customFormat="false" ht="15" hidden="false" customHeight="false" outlineLevel="0" collapsed="false">
      <c r="A228" s="17"/>
      <c r="B228" s="20"/>
      <c r="C228" s="17"/>
      <c r="D228" s="17"/>
      <c r="E228" s="17"/>
      <c r="F228" s="21"/>
      <c r="G228" s="17"/>
      <c r="H228" s="17"/>
      <c r="I228" s="17"/>
    </row>
    <row r="229" customFormat="false" ht="15" hidden="false" customHeight="false" outlineLevel="0" collapsed="false">
      <c r="A229" s="17"/>
      <c r="B229" s="20"/>
      <c r="C229" s="17"/>
      <c r="D229" s="17"/>
      <c r="E229" s="17"/>
      <c r="F229" s="21"/>
      <c r="G229" s="17"/>
      <c r="H229" s="17"/>
      <c r="I229" s="17"/>
    </row>
    <row r="230" customFormat="false" ht="15" hidden="false" customHeight="false" outlineLevel="0" collapsed="false">
      <c r="A230" s="17"/>
      <c r="B230" s="20"/>
      <c r="C230" s="17"/>
      <c r="D230" s="17"/>
      <c r="E230" s="17"/>
      <c r="F230" s="21"/>
      <c r="G230" s="17"/>
      <c r="H230" s="17"/>
      <c r="I230" s="17"/>
    </row>
    <row r="231" customFormat="false" ht="15" hidden="false" customHeight="false" outlineLevel="0" collapsed="false">
      <c r="A231" s="17"/>
      <c r="B231" s="20"/>
      <c r="C231" s="17"/>
      <c r="D231" s="17"/>
      <c r="E231" s="17"/>
      <c r="F231" s="21"/>
      <c r="G231" s="17"/>
      <c r="H231" s="17"/>
      <c r="I231" s="17"/>
    </row>
    <row r="232" customFormat="false" ht="15" hidden="false" customHeight="false" outlineLevel="0" collapsed="false">
      <c r="A232" s="17"/>
      <c r="B232" s="20"/>
      <c r="C232" s="17"/>
      <c r="D232" s="17"/>
      <c r="E232" s="17"/>
      <c r="F232" s="21"/>
      <c r="G232" s="17"/>
      <c r="H232" s="17"/>
      <c r="I232" s="17"/>
    </row>
    <row r="233" customFormat="false" ht="15" hidden="false" customHeight="false" outlineLevel="0" collapsed="false">
      <c r="A233" s="17"/>
      <c r="B233" s="20"/>
      <c r="C233" s="17"/>
      <c r="D233" s="17"/>
      <c r="E233" s="17"/>
      <c r="F233" s="21"/>
      <c r="G233" s="17"/>
      <c r="H233" s="17"/>
      <c r="I233" s="17"/>
    </row>
    <row r="234" customFormat="false" ht="15" hidden="false" customHeight="false" outlineLevel="0" collapsed="false">
      <c r="A234" s="17"/>
      <c r="B234" s="20"/>
      <c r="C234" s="17"/>
      <c r="D234" s="17"/>
      <c r="E234" s="17"/>
      <c r="F234" s="21"/>
      <c r="G234" s="17"/>
      <c r="H234" s="17"/>
      <c r="I234" s="17"/>
    </row>
    <row r="235" customFormat="false" ht="15" hidden="false" customHeight="false" outlineLevel="0" collapsed="false">
      <c r="A235" s="17"/>
      <c r="B235" s="20"/>
      <c r="C235" s="17"/>
      <c r="D235" s="17"/>
      <c r="E235" s="17"/>
      <c r="F235" s="21"/>
      <c r="G235" s="17"/>
      <c r="H235" s="17"/>
      <c r="I235" s="17"/>
    </row>
    <row r="236" customFormat="false" ht="15" hidden="false" customHeight="false" outlineLevel="0" collapsed="false">
      <c r="A236" s="17"/>
      <c r="B236" s="20"/>
      <c r="C236" s="17"/>
      <c r="D236" s="17"/>
      <c r="E236" s="17"/>
      <c r="F236" s="21"/>
      <c r="G236" s="17"/>
      <c r="H236" s="17"/>
      <c r="I236" s="17"/>
    </row>
    <row r="237" customFormat="false" ht="15" hidden="false" customHeight="false" outlineLevel="0" collapsed="false">
      <c r="A237" s="17"/>
      <c r="B237" s="20"/>
      <c r="C237" s="17"/>
      <c r="D237" s="17"/>
      <c r="E237" s="17"/>
      <c r="F237" s="21"/>
      <c r="G237" s="17"/>
      <c r="H237" s="17"/>
      <c r="I237" s="17"/>
    </row>
    <row r="238" customFormat="false" ht="15" hidden="false" customHeight="false" outlineLevel="0" collapsed="false">
      <c r="A238" s="17"/>
      <c r="B238" s="20"/>
      <c r="C238" s="17"/>
      <c r="D238" s="17"/>
      <c r="E238" s="17"/>
      <c r="F238" s="21"/>
      <c r="G238" s="17"/>
      <c r="H238" s="17"/>
      <c r="I238" s="17"/>
    </row>
    <row r="239" customFormat="false" ht="15" hidden="false" customHeight="false" outlineLevel="0" collapsed="false">
      <c r="A239" s="17"/>
      <c r="B239" s="20"/>
      <c r="C239" s="17"/>
      <c r="D239" s="17"/>
      <c r="E239" s="17"/>
      <c r="F239" s="21"/>
      <c r="G239" s="17"/>
      <c r="H239" s="17"/>
      <c r="I239" s="17"/>
    </row>
    <row r="240" customFormat="false" ht="15" hidden="false" customHeight="false" outlineLevel="0" collapsed="false">
      <c r="A240" s="17"/>
      <c r="B240" s="20"/>
      <c r="C240" s="17"/>
      <c r="D240" s="17"/>
      <c r="E240" s="17"/>
      <c r="F240" s="21"/>
      <c r="G240" s="17"/>
      <c r="H240" s="17"/>
      <c r="I240" s="17"/>
    </row>
    <row r="241" customFormat="false" ht="15" hidden="false" customHeight="false" outlineLevel="0" collapsed="false">
      <c r="A241" s="17"/>
      <c r="B241" s="20"/>
      <c r="C241" s="17"/>
      <c r="D241" s="17"/>
      <c r="E241" s="17"/>
      <c r="F241" s="21"/>
      <c r="G241" s="17"/>
      <c r="H241" s="17"/>
      <c r="I241" s="17"/>
    </row>
    <row r="242" customFormat="false" ht="15" hidden="false" customHeight="false" outlineLevel="0" collapsed="false">
      <c r="A242" s="17"/>
      <c r="B242" s="20"/>
      <c r="C242" s="17"/>
      <c r="D242" s="17"/>
      <c r="E242" s="17"/>
      <c r="F242" s="21"/>
      <c r="G242" s="17"/>
      <c r="H242" s="17"/>
      <c r="I242" s="17"/>
    </row>
    <row r="243" customFormat="false" ht="15" hidden="false" customHeight="false" outlineLevel="0" collapsed="false">
      <c r="A243" s="17"/>
      <c r="B243" s="20"/>
      <c r="C243" s="17"/>
      <c r="D243" s="17"/>
      <c r="E243" s="17"/>
      <c r="F243" s="21"/>
      <c r="G243" s="17"/>
      <c r="H243" s="17"/>
      <c r="I243" s="17"/>
    </row>
    <row r="244" customFormat="false" ht="15" hidden="false" customHeight="false" outlineLevel="0" collapsed="false">
      <c r="A244" s="17"/>
      <c r="B244" s="20"/>
      <c r="C244" s="17"/>
      <c r="D244" s="17"/>
      <c r="E244" s="17"/>
      <c r="F244" s="21"/>
      <c r="G244" s="17"/>
      <c r="H244" s="17"/>
      <c r="I244" s="17"/>
    </row>
    <row r="245" customFormat="false" ht="15" hidden="false" customHeight="false" outlineLevel="0" collapsed="false">
      <c r="A245" s="17"/>
      <c r="B245" s="20"/>
      <c r="C245" s="17"/>
      <c r="D245" s="17"/>
      <c r="E245" s="17"/>
      <c r="F245" s="21"/>
      <c r="G245" s="17"/>
      <c r="H245" s="17"/>
      <c r="I245" s="17"/>
    </row>
    <row r="246" customFormat="false" ht="15" hidden="false" customHeight="false" outlineLevel="0" collapsed="false">
      <c r="A246" s="17"/>
      <c r="B246" s="20"/>
      <c r="C246" s="17"/>
      <c r="D246" s="17"/>
      <c r="E246" s="17"/>
      <c r="F246" s="21"/>
      <c r="G246" s="17"/>
      <c r="H246" s="17"/>
      <c r="I246" s="17"/>
    </row>
    <row r="247" customFormat="false" ht="15" hidden="false" customHeight="false" outlineLevel="0" collapsed="false">
      <c r="A247" s="17"/>
      <c r="B247" s="20"/>
      <c r="C247" s="17"/>
      <c r="D247" s="17"/>
      <c r="E247" s="17"/>
      <c r="F247" s="21"/>
      <c r="G247" s="17"/>
      <c r="H247" s="17"/>
      <c r="I247" s="17"/>
    </row>
    <row r="248" customFormat="false" ht="15" hidden="false" customHeight="false" outlineLevel="0" collapsed="false">
      <c r="A248" s="17"/>
      <c r="B248" s="20"/>
      <c r="C248" s="17"/>
      <c r="D248" s="17"/>
      <c r="E248" s="17"/>
      <c r="F248" s="21"/>
      <c r="G248" s="17"/>
      <c r="H248" s="17"/>
      <c r="I248" s="17"/>
    </row>
    <row r="249" customFormat="false" ht="15" hidden="false" customHeight="false" outlineLevel="0" collapsed="false">
      <c r="A249" s="17"/>
      <c r="B249" s="20"/>
      <c r="C249" s="17"/>
      <c r="D249" s="17"/>
      <c r="E249" s="17"/>
      <c r="F249" s="21"/>
      <c r="G249" s="17"/>
      <c r="H249" s="17"/>
      <c r="I249" s="17"/>
    </row>
    <row r="250" customFormat="false" ht="15" hidden="false" customHeight="false" outlineLevel="0" collapsed="false">
      <c r="A250" s="17"/>
      <c r="B250" s="20"/>
      <c r="C250" s="17"/>
      <c r="D250" s="17"/>
      <c r="E250" s="17"/>
      <c r="F250" s="21"/>
      <c r="G250" s="17"/>
      <c r="H250" s="17"/>
      <c r="I250" s="17"/>
    </row>
    <row r="251" customFormat="false" ht="15" hidden="false" customHeight="false" outlineLevel="0" collapsed="false">
      <c r="A251" s="17"/>
      <c r="B251" s="20"/>
      <c r="C251" s="17"/>
      <c r="D251" s="17"/>
      <c r="E251" s="17"/>
      <c r="F251" s="21"/>
      <c r="G251" s="17"/>
      <c r="H251" s="17"/>
      <c r="I251" s="17"/>
    </row>
    <row r="252" customFormat="false" ht="15" hidden="false" customHeight="false" outlineLevel="0" collapsed="false">
      <c r="A252" s="17"/>
      <c r="B252" s="20"/>
      <c r="C252" s="17"/>
      <c r="D252" s="17"/>
      <c r="E252" s="17"/>
      <c r="F252" s="21"/>
      <c r="G252" s="17"/>
      <c r="H252" s="17"/>
      <c r="I252" s="17"/>
    </row>
    <row r="253" customFormat="false" ht="15" hidden="false" customHeight="false" outlineLevel="0" collapsed="false">
      <c r="A253" s="17"/>
      <c r="B253" s="20"/>
      <c r="C253" s="17"/>
      <c r="D253" s="17"/>
      <c r="E253" s="17"/>
      <c r="F253" s="21"/>
      <c r="G253" s="17"/>
      <c r="H253" s="17"/>
      <c r="I253" s="17"/>
    </row>
    <row r="254" customFormat="false" ht="15" hidden="false" customHeight="false" outlineLevel="0" collapsed="false">
      <c r="A254" s="17"/>
      <c r="B254" s="20"/>
      <c r="C254" s="17"/>
      <c r="D254" s="17"/>
      <c r="E254" s="17"/>
      <c r="F254" s="21"/>
      <c r="G254" s="17"/>
      <c r="H254" s="17"/>
      <c r="I254" s="17"/>
    </row>
    <row r="255" customFormat="false" ht="15" hidden="false" customHeight="false" outlineLevel="0" collapsed="false">
      <c r="A255" s="17"/>
      <c r="B255" s="20"/>
      <c r="C255" s="17"/>
      <c r="D255" s="17"/>
      <c r="E255" s="17"/>
      <c r="F255" s="21"/>
      <c r="G255" s="17"/>
      <c r="H255" s="17"/>
      <c r="I255" s="17"/>
    </row>
    <row r="256" customFormat="false" ht="15" hidden="false" customHeight="false" outlineLevel="0" collapsed="false">
      <c r="A256" s="17"/>
      <c r="B256" s="20"/>
      <c r="C256" s="17"/>
      <c r="D256" s="17"/>
      <c r="E256" s="17"/>
      <c r="F256" s="21"/>
      <c r="G256" s="17"/>
      <c r="H256" s="17"/>
      <c r="I256" s="17"/>
    </row>
    <row r="257" customFormat="false" ht="15" hidden="false" customHeight="false" outlineLevel="0" collapsed="false">
      <c r="A257" s="17"/>
      <c r="B257" s="20"/>
      <c r="C257" s="17"/>
      <c r="D257" s="17"/>
      <c r="E257" s="17"/>
      <c r="F257" s="21"/>
      <c r="G257" s="17"/>
      <c r="H257" s="17"/>
      <c r="I257" s="17"/>
    </row>
    <row r="258" customFormat="false" ht="15" hidden="false" customHeight="false" outlineLevel="0" collapsed="false">
      <c r="A258" s="17"/>
      <c r="B258" s="20"/>
      <c r="C258" s="17"/>
      <c r="D258" s="17"/>
      <c r="E258" s="17"/>
      <c r="F258" s="21"/>
      <c r="G258" s="17"/>
      <c r="H258" s="17"/>
      <c r="I258" s="17"/>
    </row>
    <row r="259" customFormat="false" ht="15" hidden="false" customHeight="false" outlineLevel="0" collapsed="false">
      <c r="A259" s="17"/>
      <c r="B259" s="20"/>
      <c r="C259" s="17"/>
      <c r="D259" s="17"/>
      <c r="E259" s="17"/>
      <c r="F259" s="21"/>
      <c r="G259" s="17"/>
      <c r="H259" s="17"/>
      <c r="I259" s="17"/>
    </row>
    <row r="260" customFormat="false" ht="15" hidden="false" customHeight="false" outlineLevel="0" collapsed="false">
      <c r="A260" s="17"/>
      <c r="B260" s="20"/>
      <c r="C260" s="17"/>
      <c r="D260" s="17"/>
      <c r="E260" s="17"/>
      <c r="F260" s="21"/>
      <c r="G260" s="17"/>
      <c r="H260" s="17"/>
      <c r="I260" s="17"/>
    </row>
    <row r="261" customFormat="false" ht="15" hidden="false" customHeight="false" outlineLevel="0" collapsed="false">
      <c r="A261" s="17"/>
      <c r="B261" s="20"/>
      <c r="C261" s="17"/>
      <c r="D261" s="17"/>
      <c r="E261" s="17"/>
      <c r="F261" s="21"/>
      <c r="G261" s="17"/>
      <c r="H261" s="17"/>
      <c r="I261" s="17"/>
    </row>
    <row r="262" customFormat="false" ht="15" hidden="false" customHeight="false" outlineLevel="0" collapsed="false">
      <c r="A262" s="17"/>
      <c r="B262" s="20"/>
      <c r="C262" s="17"/>
      <c r="D262" s="17"/>
      <c r="E262" s="17"/>
      <c r="F262" s="21"/>
      <c r="G262" s="17"/>
      <c r="H262" s="17"/>
      <c r="I262" s="17"/>
    </row>
    <row r="263" customFormat="false" ht="15" hidden="false" customHeight="false" outlineLevel="0" collapsed="false">
      <c r="A263" s="17"/>
      <c r="B263" s="20"/>
      <c r="C263" s="17"/>
      <c r="D263" s="17"/>
      <c r="E263" s="17"/>
      <c r="F263" s="21"/>
      <c r="G263" s="17"/>
      <c r="H263" s="17"/>
      <c r="I263" s="17"/>
    </row>
    <row r="264" customFormat="false" ht="15" hidden="false" customHeight="false" outlineLevel="0" collapsed="false">
      <c r="A264" s="17"/>
      <c r="B264" s="20"/>
      <c r="C264" s="17"/>
      <c r="D264" s="17"/>
      <c r="E264" s="17"/>
      <c r="F264" s="21"/>
      <c r="G264" s="17"/>
      <c r="H264" s="17"/>
      <c r="I264" s="17"/>
    </row>
    <row r="265" customFormat="false" ht="15" hidden="false" customHeight="false" outlineLevel="0" collapsed="false">
      <c r="A265" s="17"/>
      <c r="B265" s="20"/>
      <c r="C265" s="17"/>
      <c r="D265" s="17"/>
      <c r="E265" s="17"/>
      <c r="F265" s="21"/>
      <c r="G265" s="17"/>
      <c r="H265" s="17"/>
      <c r="I265" s="17"/>
    </row>
    <row r="266" customFormat="false" ht="15" hidden="false" customHeight="false" outlineLevel="0" collapsed="false">
      <c r="A266" s="17"/>
      <c r="B266" s="20"/>
      <c r="C266" s="17"/>
      <c r="D266" s="17"/>
      <c r="E266" s="17"/>
      <c r="F266" s="21"/>
      <c r="G266" s="17"/>
      <c r="H266" s="17"/>
      <c r="I266" s="17"/>
    </row>
    <row r="267" customFormat="false" ht="15" hidden="false" customHeight="false" outlineLevel="0" collapsed="false">
      <c r="A267" s="17"/>
      <c r="B267" s="20"/>
      <c r="C267" s="17"/>
      <c r="D267" s="17"/>
      <c r="E267" s="17"/>
      <c r="F267" s="21"/>
      <c r="G267" s="17"/>
      <c r="H267" s="17"/>
      <c r="I267" s="17"/>
    </row>
    <row r="268" customFormat="false" ht="15" hidden="false" customHeight="false" outlineLevel="0" collapsed="false">
      <c r="A268" s="17"/>
      <c r="B268" s="20"/>
      <c r="C268" s="17"/>
      <c r="D268" s="17"/>
      <c r="E268" s="17"/>
      <c r="F268" s="21"/>
      <c r="G268" s="17"/>
      <c r="H268" s="17"/>
      <c r="I268" s="17"/>
    </row>
    <row r="269" customFormat="false" ht="15" hidden="false" customHeight="false" outlineLevel="0" collapsed="false">
      <c r="A269" s="17"/>
      <c r="B269" s="20"/>
      <c r="C269" s="17"/>
      <c r="D269" s="17"/>
      <c r="E269" s="17"/>
      <c r="F269" s="21"/>
      <c r="G269" s="17"/>
      <c r="H269" s="17"/>
      <c r="I269" s="17"/>
    </row>
    <row r="270" customFormat="false" ht="15" hidden="false" customHeight="false" outlineLevel="0" collapsed="false">
      <c r="A270" s="17"/>
      <c r="B270" s="20"/>
      <c r="C270" s="17"/>
      <c r="D270" s="17"/>
      <c r="E270" s="17"/>
      <c r="F270" s="21"/>
      <c r="G270" s="17"/>
      <c r="H270" s="17"/>
      <c r="I270" s="17"/>
    </row>
    <row r="271" customFormat="false" ht="15" hidden="false" customHeight="false" outlineLevel="0" collapsed="false">
      <c r="A271" s="17"/>
      <c r="B271" s="20"/>
      <c r="C271" s="17"/>
      <c r="D271" s="17"/>
      <c r="E271" s="17"/>
      <c r="F271" s="21"/>
      <c r="G271" s="17"/>
      <c r="H271" s="17"/>
      <c r="I271" s="17"/>
    </row>
    <row r="272" customFormat="false" ht="15" hidden="false" customHeight="false" outlineLevel="0" collapsed="false">
      <c r="A272" s="17"/>
      <c r="B272" s="20"/>
      <c r="C272" s="17"/>
      <c r="D272" s="17"/>
      <c r="E272" s="17"/>
      <c r="F272" s="21"/>
      <c r="G272" s="17"/>
      <c r="H272" s="17"/>
      <c r="I272" s="17"/>
    </row>
    <row r="273" customFormat="false" ht="15" hidden="false" customHeight="false" outlineLevel="0" collapsed="false">
      <c r="A273" s="17"/>
      <c r="B273" s="20"/>
      <c r="C273" s="17"/>
      <c r="D273" s="17"/>
      <c r="E273" s="17"/>
      <c r="F273" s="21"/>
      <c r="G273" s="17"/>
      <c r="H273" s="17"/>
      <c r="I273" s="17"/>
    </row>
    <row r="274" customFormat="false" ht="15" hidden="false" customHeight="false" outlineLevel="0" collapsed="false">
      <c r="A274" s="17"/>
      <c r="B274" s="20"/>
      <c r="C274" s="17"/>
      <c r="D274" s="17"/>
      <c r="E274" s="17"/>
      <c r="F274" s="21"/>
      <c r="G274" s="17"/>
      <c r="H274" s="17"/>
      <c r="I274" s="17"/>
    </row>
    <row r="275" customFormat="false" ht="15" hidden="false" customHeight="false" outlineLevel="0" collapsed="false">
      <c r="A275" s="17"/>
      <c r="B275" s="20"/>
      <c r="C275" s="17"/>
      <c r="D275" s="17"/>
      <c r="E275" s="17"/>
      <c r="F275" s="21"/>
      <c r="G275" s="17"/>
      <c r="H275" s="17"/>
      <c r="I275" s="17"/>
    </row>
    <row r="276" customFormat="false" ht="15" hidden="false" customHeight="false" outlineLevel="0" collapsed="false">
      <c r="A276" s="17"/>
      <c r="B276" s="20"/>
      <c r="C276" s="17"/>
      <c r="D276" s="17"/>
      <c r="E276" s="17"/>
      <c r="F276" s="21"/>
      <c r="G276" s="17"/>
      <c r="H276" s="17"/>
      <c r="I276" s="17"/>
    </row>
    <row r="277" customFormat="false" ht="15" hidden="false" customHeight="false" outlineLevel="0" collapsed="false">
      <c r="A277" s="17"/>
      <c r="B277" s="20"/>
      <c r="C277" s="17"/>
      <c r="D277" s="17"/>
      <c r="E277" s="17"/>
      <c r="F277" s="21"/>
      <c r="G277" s="17"/>
      <c r="H277" s="17"/>
      <c r="I277" s="17"/>
    </row>
    <row r="278" customFormat="false" ht="15" hidden="false" customHeight="false" outlineLevel="0" collapsed="false">
      <c r="A278" s="17"/>
      <c r="B278" s="20"/>
      <c r="C278" s="17"/>
      <c r="D278" s="17"/>
      <c r="E278" s="17"/>
      <c r="F278" s="21"/>
      <c r="G278" s="17"/>
      <c r="H278" s="17"/>
      <c r="I278" s="17"/>
    </row>
    <row r="279" customFormat="false" ht="15" hidden="false" customHeight="false" outlineLevel="0" collapsed="false">
      <c r="A279" s="17"/>
      <c r="B279" s="20"/>
      <c r="C279" s="17"/>
      <c r="D279" s="17"/>
      <c r="E279" s="17"/>
      <c r="F279" s="21"/>
      <c r="G279" s="17"/>
      <c r="H279" s="17"/>
      <c r="I279" s="17"/>
    </row>
    <row r="280" customFormat="false" ht="15" hidden="false" customHeight="false" outlineLevel="0" collapsed="false">
      <c r="A280" s="17"/>
      <c r="B280" s="20"/>
      <c r="C280" s="17"/>
      <c r="D280" s="17"/>
      <c r="E280" s="17"/>
      <c r="F280" s="21"/>
      <c r="G280" s="17"/>
      <c r="H280" s="17"/>
      <c r="I280" s="17"/>
    </row>
    <row r="281" customFormat="false" ht="15" hidden="false" customHeight="false" outlineLevel="0" collapsed="false">
      <c r="A281" s="17"/>
      <c r="B281" s="20"/>
      <c r="C281" s="17"/>
      <c r="D281" s="17"/>
      <c r="E281" s="17"/>
      <c r="F281" s="21"/>
      <c r="G281" s="17"/>
      <c r="H281" s="17"/>
      <c r="I281" s="17"/>
    </row>
    <row r="282" customFormat="false" ht="15" hidden="false" customHeight="false" outlineLevel="0" collapsed="false">
      <c r="A282" s="17"/>
      <c r="B282" s="20"/>
      <c r="C282" s="17"/>
      <c r="D282" s="17"/>
      <c r="E282" s="17"/>
      <c r="F282" s="21"/>
      <c r="G282" s="17"/>
      <c r="H282" s="17"/>
      <c r="I282" s="17"/>
    </row>
    <row r="283" customFormat="false" ht="15" hidden="false" customHeight="false" outlineLevel="0" collapsed="false">
      <c r="A283" s="17"/>
      <c r="B283" s="20"/>
      <c r="C283" s="17"/>
      <c r="D283" s="17"/>
      <c r="E283" s="17"/>
      <c r="F283" s="21"/>
      <c r="G283" s="17"/>
      <c r="H283" s="17"/>
      <c r="I283" s="17"/>
    </row>
    <row r="284" customFormat="false" ht="15" hidden="false" customHeight="false" outlineLevel="0" collapsed="false">
      <c r="A284" s="17"/>
      <c r="B284" s="20"/>
      <c r="C284" s="17"/>
      <c r="D284" s="17"/>
      <c r="E284" s="17"/>
      <c r="F284" s="21"/>
      <c r="G284" s="17"/>
      <c r="H284" s="17"/>
      <c r="I284" s="17"/>
    </row>
    <row r="285" customFormat="false" ht="15" hidden="false" customHeight="false" outlineLevel="0" collapsed="false">
      <c r="A285" s="17"/>
      <c r="B285" s="20"/>
      <c r="C285" s="17"/>
      <c r="D285" s="17"/>
      <c r="E285" s="17"/>
      <c r="F285" s="21"/>
      <c r="G285" s="17"/>
      <c r="H285" s="17"/>
      <c r="I285" s="17"/>
    </row>
    <row r="286" customFormat="false" ht="15" hidden="false" customHeight="false" outlineLevel="0" collapsed="false">
      <c r="A286" s="17"/>
      <c r="B286" s="20"/>
      <c r="C286" s="17"/>
      <c r="D286" s="17"/>
      <c r="E286" s="17"/>
      <c r="F286" s="21"/>
      <c r="G286" s="17"/>
      <c r="H286" s="17"/>
      <c r="I286" s="17"/>
    </row>
    <row r="287" customFormat="false" ht="15" hidden="false" customHeight="false" outlineLevel="0" collapsed="false">
      <c r="A287" s="17"/>
      <c r="B287" s="20"/>
      <c r="C287" s="17"/>
      <c r="D287" s="17"/>
      <c r="E287" s="17"/>
      <c r="F287" s="21"/>
      <c r="G287" s="17"/>
      <c r="H287" s="17"/>
      <c r="I287" s="17"/>
    </row>
    <row r="288" customFormat="false" ht="15" hidden="false" customHeight="false" outlineLevel="0" collapsed="false">
      <c r="A288" s="17"/>
      <c r="B288" s="20"/>
      <c r="C288" s="17"/>
      <c r="D288" s="17"/>
      <c r="E288" s="17"/>
      <c r="F288" s="21"/>
      <c r="G288" s="17"/>
      <c r="H288" s="17"/>
      <c r="I288" s="17"/>
    </row>
    <row r="289" customFormat="false" ht="15" hidden="false" customHeight="false" outlineLevel="0" collapsed="false">
      <c r="A289" s="17"/>
      <c r="B289" s="20"/>
      <c r="C289" s="17"/>
      <c r="D289" s="17"/>
      <c r="E289" s="17"/>
      <c r="F289" s="21"/>
      <c r="G289" s="17"/>
      <c r="H289" s="17"/>
      <c r="I289" s="17"/>
    </row>
    <row r="290" customFormat="false" ht="15" hidden="false" customHeight="false" outlineLevel="0" collapsed="false">
      <c r="A290" s="17"/>
      <c r="B290" s="20"/>
      <c r="C290" s="17"/>
      <c r="D290" s="17"/>
      <c r="E290" s="17"/>
      <c r="F290" s="21"/>
      <c r="G290" s="17"/>
      <c r="H290" s="17"/>
      <c r="I290" s="17"/>
    </row>
    <row r="291" customFormat="false" ht="15" hidden="false" customHeight="false" outlineLevel="0" collapsed="false">
      <c r="A291" s="17"/>
      <c r="B291" s="20"/>
      <c r="C291" s="17"/>
      <c r="D291" s="17"/>
      <c r="E291" s="17"/>
      <c r="F291" s="21"/>
      <c r="G291" s="17"/>
      <c r="H291" s="17"/>
      <c r="I291" s="17"/>
    </row>
    <row r="292" customFormat="false" ht="15" hidden="false" customHeight="false" outlineLevel="0" collapsed="false">
      <c r="A292" s="17"/>
      <c r="B292" s="20"/>
      <c r="C292" s="17"/>
      <c r="D292" s="17"/>
      <c r="E292" s="17"/>
      <c r="F292" s="21"/>
      <c r="G292" s="17"/>
      <c r="H292" s="17"/>
      <c r="I292" s="17"/>
    </row>
    <row r="293" customFormat="false" ht="15" hidden="false" customHeight="false" outlineLevel="0" collapsed="false">
      <c r="A293" s="17"/>
      <c r="B293" s="20"/>
      <c r="C293" s="17"/>
      <c r="D293" s="17"/>
      <c r="E293" s="17"/>
      <c r="F293" s="21"/>
      <c r="G293" s="17"/>
      <c r="H293" s="17"/>
      <c r="I293" s="17"/>
    </row>
    <row r="294" customFormat="false" ht="15" hidden="false" customHeight="false" outlineLevel="0" collapsed="false">
      <c r="A294" s="17"/>
      <c r="B294" s="20"/>
      <c r="C294" s="17"/>
      <c r="D294" s="17"/>
      <c r="E294" s="17"/>
      <c r="F294" s="21"/>
      <c r="G294" s="17"/>
      <c r="H294" s="17"/>
      <c r="I294" s="17"/>
    </row>
    <row r="295" customFormat="false" ht="15" hidden="false" customHeight="false" outlineLevel="0" collapsed="false">
      <c r="A295" s="17"/>
      <c r="B295" s="20"/>
      <c r="C295" s="17"/>
      <c r="D295" s="17"/>
      <c r="E295" s="17"/>
      <c r="F295" s="21"/>
      <c r="G295" s="17"/>
      <c r="H295" s="17"/>
      <c r="I295" s="17"/>
    </row>
    <row r="296" customFormat="false" ht="15" hidden="false" customHeight="false" outlineLevel="0" collapsed="false">
      <c r="A296" s="17"/>
      <c r="B296" s="20"/>
      <c r="C296" s="17"/>
      <c r="D296" s="17"/>
      <c r="E296" s="17"/>
      <c r="F296" s="21"/>
      <c r="G296" s="17"/>
      <c r="H296" s="17"/>
      <c r="I296" s="17"/>
    </row>
    <row r="297" customFormat="false" ht="15" hidden="false" customHeight="false" outlineLevel="0" collapsed="false">
      <c r="A297" s="17"/>
      <c r="B297" s="20"/>
      <c r="C297" s="17"/>
      <c r="D297" s="17"/>
      <c r="E297" s="17"/>
      <c r="F297" s="21"/>
      <c r="G297" s="17"/>
      <c r="H297" s="17"/>
      <c r="I297" s="17"/>
    </row>
    <row r="298" customFormat="false" ht="15" hidden="false" customHeight="false" outlineLevel="0" collapsed="false">
      <c r="A298" s="17"/>
      <c r="B298" s="20"/>
      <c r="C298" s="17"/>
      <c r="D298" s="17"/>
      <c r="E298" s="17"/>
      <c r="F298" s="21"/>
      <c r="G298" s="17"/>
      <c r="H298" s="17"/>
      <c r="I298" s="17"/>
    </row>
    <row r="299" customFormat="false" ht="15" hidden="false" customHeight="false" outlineLevel="0" collapsed="false">
      <c r="A299" s="17"/>
      <c r="B299" s="20"/>
      <c r="C299" s="17"/>
      <c r="D299" s="17"/>
      <c r="E299" s="17"/>
      <c r="F299" s="21"/>
      <c r="G299" s="17"/>
      <c r="H299" s="17"/>
      <c r="I299" s="17"/>
    </row>
    <row r="300" customFormat="false" ht="15" hidden="false" customHeight="false" outlineLevel="0" collapsed="false">
      <c r="A300" s="17"/>
      <c r="B300" s="20"/>
      <c r="C300" s="17"/>
      <c r="D300" s="17"/>
      <c r="E300" s="17"/>
      <c r="F300" s="21"/>
      <c r="G300" s="17"/>
      <c r="H300" s="17"/>
      <c r="I300" s="17"/>
    </row>
    <row r="301" customFormat="false" ht="15" hidden="false" customHeight="false" outlineLevel="0" collapsed="false">
      <c r="A301" s="17"/>
      <c r="B301" s="20"/>
      <c r="C301" s="17"/>
      <c r="D301" s="17"/>
      <c r="E301" s="17"/>
      <c r="F301" s="21"/>
      <c r="G301" s="17"/>
      <c r="H301" s="17"/>
      <c r="I301" s="17"/>
    </row>
    <row r="302" customFormat="false" ht="15" hidden="false" customHeight="false" outlineLevel="0" collapsed="false">
      <c r="A302" s="17"/>
      <c r="B302" s="20"/>
      <c r="C302" s="17"/>
      <c r="D302" s="17"/>
      <c r="E302" s="17"/>
      <c r="F302" s="21"/>
      <c r="G302" s="17"/>
      <c r="H302" s="17"/>
      <c r="I302" s="17"/>
    </row>
    <row r="303" customFormat="false" ht="15" hidden="false" customHeight="false" outlineLevel="0" collapsed="false">
      <c r="A303" s="17"/>
      <c r="B303" s="20"/>
      <c r="C303" s="17"/>
      <c r="D303" s="17"/>
      <c r="E303" s="17"/>
      <c r="F303" s="21"/>
      <c r="G303" s="17"/>
      <c r="H303" s="17"/>
      <c r="I303" s="17"/>
    </row>
    <row r="304" customFormat="false" ht="15" hidden="false" customHeight="false" outlineLevel="0" collapsed="false">
      <c r="A304" s="17"/>
      <c r="B304" s="20"/>
      <c r="C304" s="17"/>
      <c r="D304" s="17"/>
      <c r="E304" s="17"/>
      <c r="F304" s="21"/>
      <c r="G304" s="17"/>
      <c r="H304" s="17"/>
      <c r="I304" s="17"/>
    </row>
    <row r="305" customFormat="false" ht="15" hidden="false" customHeight="false" outlineLevel="0" collapsed="false">
      <c r="A305" s="17"/>
      <c r="B305" s="20"/>
      <c r="C305" s="17"/>
      <c r="D305" s="17"/>
      <c r="E305" s="17"/>
      <c r="F305" s="21"/>
      <c r="G305" s="17"/>
      <c r="H305" s="17"/>
      <c r="I305" s="17"/>
    </row>
    <row r="306" customFormat="false" ht="15" hidden="false" customHeight="false" outlineLevel="0" collapsed="false">
      <c r="A306" s="17"/>
      <c r="B306" s="20"/>
      <c r="C306" s="17"/>
      <c r="D306" s="17"/>
      <c r="E306" s="17"/>
      <c r="F306" s="21"/>
      <c r="G306" s="17"/>
      <c r="H306" s="17"/>
      <c r="I306" s="17"/>
    </row>
    <row r="307" customFormat="false" ht="15" hidden="false" customHeight="false" outlineLevel="0" collapsed="false">
      <c r="A307" s="17"/>
      <c r="B307" s="20"/>
      <c r="C307" s="17"/>
      <c r="D307" s="17"/>
      <c r="E307" s="17"/>
      <c r="F307" s="21"/>
      <c r="G307" s="17"/>
      <c r="H307" s="17"/>
      <c r="I307" s="17"/>
    </row>
    <row r="308" customFormat="false" ht="15" hidden="false" customHeight="false" outlineLevel="0" collapsed="false">
      <c r="A308" s="17"/>
      <c r="B308" s="20"/>
      <c r="C308" s="17"/>
      <c r="D308" s="17"/>
      <c r="E308" s="17"/>
      <c r="F308" s="21"/>
      <c r="G308" s="17"/>
      <c r="H308" s="17"/>
      <c r="I308" s="17"/>
    </row>
    <row r="309" customFormat="false" ht="15" hidden="false" customHeight="false" outlineLevel="0" collapsed="false">
      <c r="A309" s="17"/>
      <c r="B309" s="20"/>
      <c r="C309" s="17"/>
      <c r="D309" s="17"/>
      <c r="E309" s="17"/>
      <c r="F309" s="21"/>
      <c r="G309" s="17"/>
      <c r="H309" s="17"/>
      <c r="I309" s="17"/>
    </row>
    <row r="310" customFormat="false" ht="15" hidden="false" customHeight="false" outlineLevel="0" collapsed="false">
      <c r="A310" s="17"/>
      <c r="B310" s="20"/>
      <c r="C310" s="17"/>
      <c r="D310" s="17"/>
      <c r="E310" s="17"/>
      <c r="F310" s="21"/>
      <c r="G310" s="17"/>
      <c r="H310" s="17"/>
      <c r="I310" s="17"/>
    </row>
    <row r="311" customFormat="false" ht="15" hidden="false" customHeight="false" outlineLevel="0" collapsed="false">
      <c r="A311" s="17"/>
      <c r="B311" s="20"/>
      <c r="C311" s="17"/>
      <c r="D311" s="17"/>
      <c r="E311" s="17"/>
      <c r="F311" s="21"/>
      <c r="G311" s="17"/>
      <c r="H311" s="17"/>
      <c r="I311" s="17"/>
    </row>
    <row r="312" customFormat="false" ht="15" hidden="false" customHeight="false" outlineLevel="0" collapsed="false">
      <c r="A312" s="17"/>
      <c r="B312" s="20"/>
      <c r="C312" s="17"/>
      <c r="D312" s="17"/>
      <c r="E312" s="17"/>
      <c r="F312" s="21"/>
      <c r="G312" s="17"/>
      <c r="H312" s="17"/>
      <c r="I312" s="17"/>
    </row>
    <row r="313" customFormat="false" ht="15" hidden="false" customHeight="false" outlineLevel="0" collapsed="false">
      <c r="A313" s="17"/>
      <c r="B313" s="20"/>
      <c r="C313" s="17"/>
      <c r="D313" s="17"/>
      <c r="E313" s="17"/>
      <c r="F313" s="21"/>
      <c r="G313" s="17"/>
      <c r="H313" s="17"/>
      <c r="I313" s="17"/>
    </row>
    <row r="314" customFormat="false" ht="15" hidden="false" customHeight="false" outlineLevel="0" collapsed="false">
      <c r="A314" s="17"/>
      <c r="B314" s="20"/>
      <c r="C314" s="17"/>
      <c r="D314" s="17"/>
      <c r="E314" s="17"/>
      <c r="F314" s="21"/>
      <c r="G314" s="17"/>
      <c r="H314" s="17"/>
      <c r="I314" s="17"/>
    </row>
    <row r="315" customFormat="false" ht="15" hidden="false" customHeight="false" outlineLevel="0" collapsed="false">
      <c r="A315" s="17"/>
      <c r="B315" s="20"/>
      <c r="C315" s="17"/>
      <c r="D315" s="17"/>
      <c r="E315" s="17"/>
      <c r="F315" s="21"/>
      <c r="G315" s="17"/>
      <c r="H315" s="17"/>
      <c r="I315" s="17"/>
    </row>
    <row r="316" customFormat="false" ht="15" hidden="false" customHeight="false" outlineLevel="0" collapsed="false">
      <c r="A316" s="17"/>
      <c r="B316" s="20"/>
      <c r="C316" s="17"/>
      <c r="D316" s="17"/>
      <c r="E316" s="17"/>
      <c r="F316" s="21"/>
      <c r="G316" s="17"/>
      <c r="H316" s="17"/>
      <c r="I316" s="17"/>
    </row>
    <row r="317" customFormat="false" ht="15" hidden="false" customHeight="false" outlineLevel="0" collapsed="false">
      <c r="A317" s="17"/>
      <c r="B317" s="20"/>
      <c r="C317" s="17"/>
      <c r="D317" s="17"/>
      <c r="E317" s="17"/>
      <c r="F317" s="21"/>
      <c r="G317" s="17"/>
      <c r="H317" s="17"/>
      <c r="I317" s="17"/>
    </row>
    <row r="318" customFormat="false" ht="15" hidden="false" customHeight="false" outlineLevel="0" collapsed="false">
      <c r="A318" s="17"/>
      <c r="B318" s="20"/>
      <c r="C318" s="17"/>
      <c r="D318" s="17"/>
      <c r="E318" s="17"/>
      <c r="F318" s="21"/>
      <c r="G318" s="17"/>
      <c r="H318" s="17"/>
      <c r="I318" s="17"/>
    </row>
    <row r="319" customFormat="false" ht="15" hidden="false" customHeight="false" outlineLevel="0" collapsed="false">
      <c r="A319" s="17"/>
      <c r="B319" s="20"/>
      <c r="C319" s="17"/>
      <c r="D319" s="17"/>
      <c r="E319" s="17"/>
      <c r="F319" s="21"/>
      <c r="G319" s="17"/>
      <c r="H319" s="17"/>
      <c r="I319" s="17"/>
    </row>
    <row r="320" customFormat="false" ht="15" hidden="false" customHeight="false" outlineLevel="0" collapsed="false">
      <c r="A320" s="17"/>
      <c r="B320" s="20"/>
      <c r="C320" s="17"/>
      <c r="D320" s="17"/>
      <c r="E320" s="17"/>
      <c r="F320" s="21"/>
      <c r="G320" s="17"/>
      <c r="H320" s="17"/>
      <c r="I320" s="17"/>
    </row>
    <row r="321" customFormat="false" ht="15" hidden="false" customHeight="false" outlineLevel="0" collapsed="false">
      <c r="A321" s="17"/>
      <c r="B321" s="20"/>
      <c r="C321" s="17"/>
      <c r="D321" s="17"/>
      <c r="E321" s="17"/>
      <c r="F321" s="21"/>
      <c r="G321" s="17"/>
      <c r="H321" s="17"/>
      <c r="I321" s="17"/>
    </row>
    <row r="322" customFormat="false" ht="15" hidden="false" customHeight="false" outlineLevel="0" collapsed="false">
      <c r="A322" s="17"/>
      <c r="B322" s="20"/>
      <c r="C322" s="17"/>
      <c r="D322" s="17"/>
      <c r="E322" s="17"/>
      <c r="F322" s="21"/>
      <c r="G322" s="17"/>
      <c r="H322" s="17"/>
      <c r="I322" s="17"/>
    </row>
    <row r="323" customFormat="false" ht="15" hidden="false" customHeight="false" outlineLevel="0" collapsed="false">
      <c r="A323" s="17"/>
      <c r="B323" s="20"/>
      <c r="C323" s="17"/>
      <c r="D323" s="17"/>
      <c r="E323" s="17"/>
      <c r="F323" s="21"/>
      <c r="G323" s="17"/>
      <c r="H323" s="17"/>
      <c r="I323" s="17"/>
    </row>
    <row r="324" customFormat="false" ht="15" hidden="false" customHeight="false" outlineLevel="0" collapsed="false">
      <c r="A324" s="17"/>
      <c r="B324" s="20"/>
      <c r="C324" s="17"/>
      <c r="D324" s="17"/>
      <c r="E324" s="17"/>
      <c r="F324" s="21"/>
      <c r="G324" s="17"/>
      <c r="H324" s="17"/>
      <c r="I324" s="17"/>
    </row>
    <row r="325" customFormat="false" ht="15" hidden="false" customHeight="false" outlineLevel="0" collapsed="false">
      <c r="A325" s="17"/>
      <c r="B325" s="20"/>
      <c r="C325" s="17"/>
      <c r="D325" s="17"/>
      <c r="E325" s="17"/>
      <c r="F325" s="21"/>
      <c r="G325" s="17"/>
      <c r="H325" s="17"/>
      <c r="I325" s="17"/>
    </row>
    <row r="326" customFormat="false" ht="15" hidden="false" customHeight="false" outlineLevel="0" collapsed="false">
      <c r="A326" s="17"/>
      <c r="B326" s="20"/>
      <c r="C326" s="17"/>
      <c r="D326" s="17"/>
      <c r="E326" s="17"/>
      <c r="F326" s="21"/>
      <c r="G326" s="17"/>
      <c r="H326" s="17"/>
      <c r="I326" s="17"/>
    </row>
    <row r="327" customFormat="false" ht="15" hidden="false" customHeight="false" outlineLevel="0" collapsed="false">
      <c r="A327" s="17"/>
      <c r="B327" s="20"/>
      <c r="C327" s="17"/>
      <c r="D327" s="17"/>
      <c r="E327" s="17"/>
      <c r="F327" s="21"/>
      <c r="G327" s="17"/>
      <c r="H327" s="17"/>
      <c r="I327" s="17"/>
    </row>
    <row r="328" customFormat="false" ht="15" hidden="false" customHeight="false" outlineLevel="0" collapsed="false">
      <c r="A328" s="17"/>
      <c r="B328" s="20"/>
      <c r="C328" s="17"/>
      <c r="D328" s="17"/>
      <c r="E328" s="17"/>
      <c r="F328" s="21"/>
      <c r="G328" s="17"/>
      <c r="H328" s="17"/>
      <c r="I328" s="17"/>
    </row>
    <row r="329" customFormat="false" ht="15" hidden="false" customHeight="false" outlineLevel="0" collapsed="false">
      <c r="A329" s="17"/>
      <c r="B329" s="20"/>
      <c r="C329" s="17"/>
      <c r="D329" s="17"/>
      <c r="E329" s="17"/>
      <c r="F329" s="21"/>
      <c r="G329" s="17"/>
      <c r="H329" s="17"/>
      <c r="I329" s="17"/>
    </row>
    <row r="330" customFormat="false" ht="15" hidden="false" customHeight="false" outlineLevel="0" collapsed="false">
      <c r="A330" s="17"/>
      <c r="B330" s="20"/>
      <c r="C330" s="17"/>
      <c r="D330" s="17"/>
      <c r="E330" s="17"/>
      <c r="F330" s="21"/>
      <c r="G330" s="17"/>
      <c r="H330" s="17"/>
      <c r="I330" s="17"/>
    </row>
    <row r="331" customFormat="false" ht="15" hidden="false" customHeight="false" outlineLevel="0" collapsed="false">
      <c r="A331" s="17"/>
      <c r="B331" s="20"/>
      <c r="C331" s="17"/>
      <c r="D331" s="17"/>
      <c r="E331" s="17"/>
      <c r="F331" s="21"/>
      <c r="G331" s="17"/>
      <c r="H331" s="17"/>
      <c r="I331" s="17"/>
    </row>
    <row r="332" customFormat="false" ht="15" hidden="false" customHeight="false" outlineLevel="0" collapsed="false">
      <c r="A332" s="17"/>
      <c r="B332" s="20"/>
      <c r="C332" s="17"/>
      <c r="D332" s="17"/>
      <c r="E332" s="17"/>
      <c r="F332" s="21"/>
      <c r="G332" s="17"/>
      <c r="H332" s="17"/>
      <c r="I332" s="17"/>
    </row>
    <row r="333" customFormat="false" ht="15" hidden="false" customHeight="false" outlineLevel="0" collapsed="false">
      <c r="A333" s="17"/>
      <c r="B333" s="20"/>
      <c r="C333" s="17"/>
      <c r="D333" s="17"/>
      <c r="E333" s="17"/>
      <c r="F333" s="21"/>
      <c r="G333" s="17"/>
      <c r="H333" s="17"/>
      <c r="I333" s="17"/>
    </row>
    <row r="334" customFormat="false" ht="15" hidden="false" customHeight="false" outlineLevel="0" collapsed="false">
      <c r="A334" s="17"/>
      <c r="B334" s="20"/>
      <c r="C334" s="17"/>
      <c r="D334" s="17"/>
      <c r="E334" s="17"/>
      <c r="F334" s="21"/>
      <c r="G334" s="17"/>
      <c r="H334" s="17"/>
      <c r="I334" s="17"/>
    </row>
    <row r="335" customFormat="false" ht="15" hidden="false" customHeight="false" outlineLevel="0" collapsed="false">
      <c r="A335" s="17"/>
      <c r="B335" s="20"/>
      <c r="C335" s="17"/>
      <c r="D335" s="17"/>
      <c r="E335" s="17"/>
      <c r="F335" s="21"/>
      <c r="G335" s="17"/>
      <c r="H335" s="17"/>
      <c r="I335" s="17"/>
    </row>
    <row r="336" customFormat="false" ht="15" hidden="false" customHeight="false" outlineLevel="0" collapsed="false">
      <c r="A336" s="17"/>
      <c r="B336" s="20"/>
      <c r="C336" s="17"/>
      <c r="D336" s="17"/>
      <c r="E336" s="17"/>
      <c r="F336" s="21"/>
      <c r="G336" s="17"/>
      <c r="H336" s="17"/>
      <c r="I336" s="17"/>
    </row>
    <row r="337" customFormat="false" ht="15" hidden="false" customHeight="false" outlineLevel="0" collapsed="false">
      <c r="A337" s="17"/>
      <c r="B337" s="20"/>
      <c r="C337" s="17"/>
      <c r="D337" s="17"/>
      <c r="E337" s="17"/>
      <c r="F337" s="21"/>
      <c r="G337" s="17"/>
      <c r="H337" s="17"/>
      <c r="I337" s="17"/>
    </row>
    <row r="338" customFormat="false" ht="15" hidden="false" customHeight="false" outlineLevel="0" collapsed="false">
      <c r="A338" s="17"/>
      <c r="B338" s="20"/>
      <c r="C338" s="17"/>
      <c r="D338" s="17"/>
      <c r="E338" s="17"/>
      <c r="F338" s="21"/>
      <c r="G338" s="17"/>
      <c r="H338" s="17"/>
      <c r="I338" s="17"/>
    </row>
    <row r="339" customFormat="false" ht="15" hidden="false" customHeight="false" outlineLevel="0" collapsed="false">
      <c r="A339" s="17"/>
      <c r="B339" s="20"/>
      <c r="C339" s="17"/>
      <c r="D339" s="17"/>
      <c r="E339" s="17"/>
      <c r="F339" s="21"/>
      <c r="G339" s="17"/>
      <c r="H339" s="17"/>
      <c r="I339" s="17"/>
    </row>
    <row r="340" customFormat="false" ht="15" hidden="false" customHeight="false" outlineLevel="0" collapsed="false">
      <c r="A340" s="17"/>
      <c r="B340" s="20"/>
      <c r="C340" s="17"/>
      <c r="D340" s="17"/>
      <c r="E340" s="17"/>
      <c r="F340" s="21"/>
      <c r="G340" s="17"/>
      <c r="H340" s="17"/>
      <c r="I340" s="17"/>
    </row>
    <row r="341" customFormat="false" ht="15" hidden="false" customHeight="false" outlineLevel="0" collapsed="false">
      <c r="A341" s="17"/>
      <c r="B341" s="20"/>
      <c r="C341" s="17"/>
      <c r="D341" s="17"/>
      <c r="E341" s="17"/>
      <c r="F341" s="21"/>
      <c r="G341" s="17"/>
      <c r="H341" s="17"/>
      <c r="I341" s="17"/>
    </row>
    <row r="342" customFormat="false" ht="15" hidden="false" customHeight="false" outlineLevel="0" collapsed="false">
      <c r="A342" s="17"/>
      <c r="B342" s="20"/>
      <c r="C342" s="17"/>
      <c r="D342" s="17"/>
      <c r="E342" s="17"/>
      <c r="F342" s="21"/>
      <c r="G342" s="17"/>
      <c r="H342" s="17"/>
      <c r="I342" s="17"/>
    </row>
    <row r="343" customFormat="false" ht="15" hidden="false" customHeight="false" outlineLevel="0" collapsed="false">
      <c r="A343" s="17"/>
      <c r="B343" s="20"/>
      <c r="C343" s="17"/>
      <c r="D343" s="17"/>
      <c r="E343" s="17"/>
      <c r="F343" s="21"/>
      <c r="G343" s="17"/>
      <c r="H343" s="17"/>
      <c r="I343" s="17"/>
    </row>
    <row r="344" customFormat="false" ht="15" hidden="false" customHeight="false" outlineLevel="0" collapsed="false">
      <c r="A344" s="17"/>
      <c r="B344" s="20"/>
      <c r="C344" s="17"/>
      <c r="D344" s="17"/>
      <c r="E344" s="17"/>
      <c r="F344" s="21"/>
      <c r="G344" s="17"/>
      <c r="H344" s="17"/>
      <c r="I344" s="17"/>
    </row>
    <row r="345" customFormat="false" ht="15" hidden="false" customHeight="false" outlineLevel="0" collapsed="false">
      <c r="A345" s="17"/>
      <c r="B345" s="20"/>
      <c r="C345" s="17"/>
      <c r="D345" s="17"/>
      <c r="E345" s="17"/>
      <c r="F345" s="21"/>
      <c r="G345" s="17"/>
      <c r="H345" s="17"/>
      <c r="I345" s="17"/>
    </row>
    <row r="346" customFormat="false" ht="15" hidden="false" customHeight="false" outlineLevel="0" collapsed="false">
      <c r="A346" s="17"/>
      <c r="B346" s="20"/>
      <c r="C346" s="17"/>
      <c r="D346" s="17"/>
      <c r="E346" s="17"/>
      <c r="F346" s="21"/>
      <c r="G346" s="17"/>
      <c r="H346" s="17"/>
      <c r="I346" s="17"/>
    </row>
    <row r="347" customFormat="false" ht="15" hidden="false" customHeight="false" outlineLevel="0" collapsed="false">
      <c r="A347" s="17"/>
      <c r="B347" s="20"/>
      <c r="C347" s="17"/>
      <c r="D347" s="17"/>
      <c r="E347" s="17"/>
      <c r="F347" s="21"/>
      <c r="G347" s="17"/>
      <c r="H347" s="17"/>
      <c r="I347" s="17"/>
    </row>
    <row r="348" customFormat="false" ht="15" hidden="false" customHeight="false" outlineLevel="0" collapsed="false">
      <c r="A348" s="17"/>
      <c r="B348" s="20"/>
      <c r="C348" s="17"/>
      <c r="D348" s="17"/>
      <c r="E348" s="17"/>
      <c r="F348" s="21"/>
      <c r="G348" s="17"/>
      <c r="H348" s="17"/>
      <c r="I348" s="17"/>
    </row>
    <row r="349" customFormat="false" ht="15" hidden="false" customHeight="false" outlineLevel="0" collapsed="false">
      <c r="A349" s="17"/>
      <c r="B349" s="20"/>
      <c r="C349" s="17"/>
      <c r="D349" s="17"/>
      <c r="E349" s="17"/>
      <c r="F349" s="21"/>
      <c r="G349" s="17"/>
      <c r="H349" s="17"/>
      <c r="I349" s="17"/>
    </row>
    <row r="350" customFormat="false" ht="15" hidden="false" customHeight="false" outlineLevel="0" collapsed="false">
      <c r="A350" s="17"/>
      <c r="B350" s="20"/>
      <c r="C350" s="17"/>
      <c r="D350" s="17"/>
      <c r="E350" s="17"/>
      <c r="F350" s="21"/>
      <c r="G350" s="17"/>
      <c r="H350" s="17"/>
      <c r="I350" s="17"/>
    </row>
    <row r="351" customFormat="false" ht="15" hidden="false" customHeight="false" outlineLevel="0" collapsed="false">
      <c r="A351" s="17"/>
      <c r="B351" s="20"/>
      <c r="C351" s="17"/>
      <c r="D351" s="17"/>
      <c r="E351" s="17"/>
      <c r="F351" s="21"/>
      <c r="G351" s="17"/>
      <c r="H351" s="17"/>
      <c r="I351" s="17"/>
    </row>
    <row r="352" customFormat="false" ht="15" hidden="false" customHeight="false" outlineLevel="0" collapsed="false">
      <c r="A352" s="17"/>
      <c r="B352" s="20"/>
      <c r="C352" s="17"/>
      <c r="D352" s="17"/>
      <c r="E352" s="17"/>
      <c r="F352" s="21"/>
      <c r="G352" s="17"/>
      <c r="H352" s="17"/>
      <c r="I352" s="17"/>
    </row>
    <row r="353" customFormat="false" ht="15" hidden="false" customHeight="false" outlineLevel="0" collapsed="false">
      <c r="A353" s="17"/>
      <c r="B353" s="20"/>
      <c r="C353" s="17"/>
      <c r="D353" s="17"/>
      <c r="E353" s="17"/>
      <c r="F353" s="21"/>
      <c r="G353" s="17"/>
      <c r="H353" s="17"/>
      <c r="I353" s="17"/>
    </row>
    <row r="354" customFormat="false" ht="15" hidden="false" customHeight="false" outlineLevel="0" collapsed="false">
      <c r="A354" s="17"/>
      <c r="B354" s="20"/>
      <c r="C354" s="17"/>
      <c r="D354" s="17"/>
      <c r="E354" s="17"/>
      <c r="F354" s="21"/>
      <c r="G354" s="17"/>
      <c r="H354" s="17"/>
      <c r="I354" s="17"/>
    </row>
    <row r="355" customFormat="false" ht="15" hidden="false" customHeight="false" outlineLevel="0" collapsed="false">
      <c r="A355" s="17"/>
      <c r="B355" s="20"/>
      <c r="C355" s="17"/>
      <c r="D355" s="17"/>
      <c r="E355" s="17"/>
      <c r="F355" s="21"/>
      <c r="G355" s="17"/>
      <c r="H355" s="17"/>
      <c r="I355" s="17"/>
    </row>
    <row r="356" customFormat="false" ht="15" hidden="false" customHeight="false" outlineLevel="0" collapsed="false">
      <c r="A356" s="17"/>
      <c r="B356" s="20"/>
      <c r="C356" s="17"/>
      <c r="D356" s="17"/>
      <c r="E356" s="17"/>
      <c r="F356" s="21"/>
      <c r="G356" s="17"/>
      <c r="H356" s="17"/>
      <c r="I356" s="17"/>
    </row>
    <row r="357" customFormat="false" ht="15" hidden="false" customHeight="false" outlineLevel="0" collapsed="false">
      <c r="A357" s="17"/>
      <c r="B357" s="20"/>
      <c r="C357" s="17"/>
      <c r="D357" s="17"/>
      <c r="E357" s="17"/>
      <c r="F357" s="21"/>
      <c r="G357" s="17"/>
      <c r="H357" s="17"/>
      <c r="I357" s="17"/>
    </row>
    <row r="358" customFormat="false" ht="15" hidden="false" customHeight="false" outlineLevel="0" collapsed="false">
      <c r="A358" s="17"/>
      <c r="B358" s="20"/>
      <c r="C358" s="17"/>
      <c r="D358" s="17"/>
      <c r="E358" s="17"/>
      <c r="F358" s="21"/>
      <c r="G358" s="17"/>
      <c r="H358" s="17"/>
      <c r="I358" s="17"/>
    </row>
    <row r="359" customFormat="false" ht="15" hidden="false" customHeight="false" outlineLevel="0" collapsed="false">
      <c r="A359" s="17"/>
      <c r="B359" s="20"/>
      <c r="C359" s="17"/>
      <c r="D359" s="17"/>
      <c r="E359" s="17"/>
      <c r="F359" s="21"/>
      <c r="G359" s="17"/>
      <c r="H359" s="17"/>
      <c r="I359" s="17"/>
    </row>
    <row r="360" customFormat="false" ht="15" hidden="false" customHeight="false" outlineLevel="0" collapsed="false">
      <c r="A360" s="17"/>
      <c r="B360" s="20"/>
      <c r="C360" s="17"/>
      <c r="D360" s="17"/>
      <c r="E360" s="17"/>
      <c r="F360" s="21"/>
      <c r="G360" s="17"/>
      <c r="H360" s="17"/>
      <c r="I360" s="17"/>
    </row>
    <row r="361" customFormat="false" ht="15" hidden="false" customHeight="false" outlineLevel="0" collapsed="false">
      <c r="A361" s="17"/>
      <c r="B361" s="20"/>
      <c r="C361" s="17"/>
      <c r="D361" s="17"/>
      <c r="E361" s="17"/>
      <c r="F361" s="21"/>
      <c r="G361" s="17"/>
      <c r="H361" s="17"/>
      <c r="I361" s="17"/>
    </row>
    <row r="362" customFormat="false" ht="15" hidden="false" customHeight="false" outlineLevel="0" collapsed="false">
      <c r="A362" s="17"/>
      <c r="B362" s="20"/>
      <c r="C362" s="17"/>
      <c r="D362" s="17"/>
      <c r="E362" s="17"/>
      <c r="F362" s="21"/>
      <c r="G362" s="17"/>
      <c r="H362" s="17"/>
      <c r="I362" s="17"/>
    </row>
    <row r="363" customFormat="false" ht="15" hidden="false" customHeight="false" outlineLevel="0" collapsed="false">
      <c r="A363" s="17"/>
      <c r="B363" s="20"/>
      <c r="C363" s="17"/>
      <c r="D363" s="17"/>
      <c r="E363" s="17"/>
      <c r="F363" s="21"/>
      <c r="G363" s="17"/>
      <c r="H363" s="17"/>
      <c r="I363" s="17"/>
    </row>
    <row r="364" customFormat="false" ht="15" hidden="false" customHeight="false" outlineLevel="0" collapsed="false">
      <c r="A364" s="17"/>
      <c r="B364" s="20"/>
      <c r="C364" s="17"/>
      <c r="D364" s="17"/>
      <c r="E364" s="17"/>
      <c r="F364" s="21"/>
      <c r="G364" s="17"/>
      <c r="H364" s="17"/>
      <c r="I364" s="17"/>
    </row>
    <row r="365" customFormat="false" ht="15" hidden="false" customHeight="false" outlineLevel="0" collapsed="false">
      <c r="A365" s="17"/>
      <c r="B365" s="20"/>
      <c r="C365" s="17"/>
      <c r="D365" s="17"/>
      <c r="E365" s="17"/>
      <c r="F365" s="21"/>
      <c r="G365" s="17"/>
      <c r="H365" s="17"/>
      <c r="I365" s="17"/>
    </row>
    <row r="366" customFormat="false" ht="15" hidden="false" customHeight="false" outlineLevel="0" collapsed="false">
      <c r="A366" s="17"/>
      <c r="B366" s="20"/>
      <c r="C366" s="17"/>
      <c r="D366" s="17"/>
      <c r="E366" s="17"/>
      <c r="F366" s="21"/>
      <c r="G366" s="17"/>
      <c r="H366" s="17"/>
      <c r="I366" s="17"/>
    </row>
    <row r="367" customFormat="false" ht="15" hidden="false" customHeight="false" outlineLevel="0" collapsed="false">
      <c r="A367" s="17"/>
      <c r="B367" s="20"/>
      <c r="C367" s="17"/>
      <c r="D367" s="17"/>
      <c r="E367" s="17"/>
      <c r="F367" s="21"/>
      <c r="G367" s="17"/>
      <c r="H367" s="17"/>
      <c r="I367" s="17"/>
    </row>
    <row r="368" customFormat="false" ht="15" hidden="false" customHeight="false" outlineLevel="0" collapsed="false">
      <c r="A368" s="17"/>
      <c r="B368" s="20"/>
      <c r="C368" s="17"/>
      <c r="D368" s="17"/>
      <c r="E368" s="17"/>
      <c r="F368" s="21"/>
      <c r="G368" s="17"/>
      <c r="H368" s="17"/>
      <c r="I368" s="17"/>
    </row>
    <row r="369" customFormat="false" ht="15" hidden="false" customHeight="false" outlineLevel="0" collapsed="false">
      <c r="A369" s="17"/>
      <c r="B369" s="20"/>
      <c r="C369" s="17"/>
      <c r="D369" s="17"/>
      <c r="E369" s="17"/>
      <c r="F369" s="21"/>
      <c r="G369" s="17"/>
      <c r="H369" s="17"/>
      <c r="I369" s="17"/>
    </row>
    <row r="370" customFormat="false" ht="15" hidden="false" customHeight="false" outlineLevel="0" collapsed="false">
      <c r="A370" s="17"/>
      <c r="B370" s="20"/>
      <c r="C370" s="17"/>
      <c r="D370" s="17"/>
      <c r="E370" s="17"/>
      <c r="F370" s="21"/>
      <c r="G370" s="17"/>
      <c r="H370" s="17"/>
      <c r="I370" s="17"/>
    </row>
    <row r="371" customFormat="false" ht="15" hidden="false" customHeight="false" outlineLevel="0" collapsed="false">
      <c r="A371" s="17"/>
      <c r="B371" s="20"/>
      <c r="C371" s="17"/>
      <c r="D371" s="17"/>
      <c r="E371" s="17"/>
      <c r="F371" s="21"/>
      <c r="G371" s="17"/>
      <c r="H371" s="17"/>
      <c r="I371" s="17"/>
    </row>
    <row r="372" customFormat="false" ht="15" hidden="false" customHeight="false" outlineLevel="0" collapsed="false">
      <c r="A372" s="17"/>
      <c r="B372" s="20"/>
      <c r="C372" s="17"/>
      <c r="D372" s="17"/>
      <c r="E372" s="17"/>
      <c r="F372" s="21"/>
      <c r="G372" s="17"/>
      <c r="H372" s="17"/>
      <c r="I372" s="17"/>
    </row>
    <row r="373" customFormat="false" ht="15" hidden="false" customHeight="false" outlineLevel="0" collapsed="false">
      <c r="A373" s="17"/>
      <c r="B373" s="20"/>
      <c r="C373" s="17"/>
      <c r="D373" s="17"/>
      <c r="E373" s="17"/>
      <c r="F373" s="21"/>
      <c r="G373" s="17"/>
      <c r="H373" s="17"/>
      <c r="I373" s="17"/>
    </row>
    <row r="374" customFormat="false" ht="15" hidden="false" customHeight="false" outlineLevel="0" collapsed="false">
      <c r="A374" s="17"/>
      <c r="B374" s="20"/>
      <c r="C374" s="17"/>
      <c r="D374" s="17"/>
      <c r="E374" s="17"/>
      <c r="F374" s="21"/>
      <c r="G374" s="17"/>
      <c r="H374" s="17"/>
      <c r="I374" s="17"/>
    </row>
    <row r="375" customFormat="false" ht="15" hidden="false" customHeight="false" outlineLevel="0" collapsed="false">
      <c r="A375" s="17"/>
      <c r="B375" s="20"/>
      <c r="C375" s="17"/>
      <c r="D375" s="17"/>
      <c r="E375" s="17"/>
      <c r="F375" s="21"/>
      <c r="G375" s="17"/>
      <c r="H375" s="17"/>
      <c r="I375" s="17"/>
    </row>
    <row r="376" customFormat="false" ht="15" hidden="false" customHeight="false" outlineLevel="0" collapsed="false">
      <c r="A376" s="17"/>
      <c r="B376" s="20"/>
      <c r="C376" s="17"/>
      <c r="D376" s="17"/>
      <c r="E376" s="17"/>
      <c r="F376" s="21"/>
      <c r="G376" s="17"/>
      <c r="H376" s="17"/>
      <c r="I376" s="17"/>
    </row>
    <row r="377" customFormat="false" ht="15" hidden="false" customHeight="false" outlineLevel="0" collapsed="false">
      <c r="A377" s="17"/>
      <c r="B377" s="20"/>
      <c r="C377" s="17"/>
      <c r="D377" s="17"/>
      <c r="E377" s="17"/>
      <c r="F377" s="21"/>
      <c r="G377" s="17"/>
      <c r="H377" s="17"/>
      <c r="I377" s="17"/>
    </row>
    <row r="378" customFormat="false" ht="15" hidden="false" customHeight="false" outlineLevel="0" collapsed="false">
      <c r="A378" s="17"/>
      <c r="B378" s="20"/>
      <c r="C378" s="17"/>
      <c r="D378" s="17"/>
      <c r="E378" s="17"/>
      <c r="F378" s="21"/>
      <c r="G378" s="17"/>
      <c r="H378" s="17"/>
      <c r="I378" s="17"/>
    </row>
    <row r="379" customFormat="false" ht="15" hidden="false" customHeight="false" outlineLevel="0" collapsed="false">
      <c r="A379" s="17"/>
      <c r="B379" s="20"/>
      <c r="C379" s="17"/>
      <c r="D379" s="17"/>
      <c r="E379" s="17"/>
      <c r="F379" s="21"/>
      <c r="G379" s="17"/>
      <c r="H379" s="17"/>
      <c r="I379" s="17"/>
    </row>
    <row r="380" customFormat="false" ht="15" hidden="false" customHeight="false" outlineLevel="0" collapsed="false">
      <c r="A380" s="17"/>
      <c r="B380" s="20"/>
      <c r="C380" s="17"/>
      <c r="D380" s="17"/>
      <c r="E380" s="17"/>
      <c r="F380" s="21"/>
      <c r="G380" s="17"/>
      <c r="H380" s="17"/>
      <c r="I380" s="17"/>
    </row>
    <row r="381" customFormat="false" ht="15" hidden="false" customHeight="false" outlineLevel="0" collapsed="false">
      <c r="A381" s="17"/>
      <c r="B381" s="20"/>
      <c r="C381" s="17"/>
      <c r="D381" s="17"/>
      <c r="E381" s="17"/>
      <c r="F381" s="21"/>
      <c r="G381" s="17"/>
      <c r="H381" s="17"/>
      <c r="I381" s="17"/>
    </row>
    <row r="382" customFormat="false" ht="15" hidden="false" customHeight="false" outlineLevel="0" collapsed="false">
      <c r="A382" s="17"/>
      <c r="B382" s="20"/>
      <c r="C382" s="17"/>
      <c r="D382" s="17"/>
      <c r="E382" s="17"/>
      <c r="F382" s="21"/>
      <c r="G382" s="17"/>
      <c r="H382" s="17"/>
      <c r="I382" s="17"/>
    </row>
    <row r="383" customFormat="false" ht="15" hidden="false" customHeight="false" outlineLevel="0" collapsed="false">
      <c r="A383" s="17"/>
      <c r="B383" s="20"/>
      <c r="C383" s="17"/>
      <c r="D383" s="17"/>
      <c r="E383" s="17"/>
      <c r="F383" s="21"/>
      <c r="G383" s="17"/>
      <c r="H383" s="17"/>
      <c r="I383" s="17"/>
    </row>
    <row r="384" customFormat="false" ht="15" hidden="false" customHeight="false" outlineLevel="0" collapsed="false">
      <c r="A384" s="17"/>
      <c r="B384" s="20"/>
      <c r="C384" s="17"/>
      <c r="D384" s="17"/>
      <c r="E384" s="17"/>
      <c r="F384" s="21"/>
      <c r="G384" s="17"/>
      <c r="H384" s="17"/>
      <c r="I384" s="17"/>
    </row>
    <row r="385" customFormat="false" ht="15" hidden="false" customHeight="false" outlineLevel="0" collapsed="false">
      <c r="A385" s="17"/>
      <c r="B385" s="20"/>
      <c r="C385" s="17"/>
      <c r="D385" s="17"/>
      <c r="E385" s="17"/>
      <c r="F385" s="21"/>
      <c r="G385" s="17"/>
      <c r="H385" s="17"/>
      <c r="I385" s="17"/>
    </row>
    <row r="386" customFormat="false" ht="15" hidden="false" customHeight="false" outlineLevel="0" collapsed="false">
      <c r="A386" s="17"/>
      <c r="B386" s="20"/>
      <c r="C386" s="17"/>
      <c r="D386" s="17"/>
      <c r="E386" s="17"/>
      <c r="F386" s="21"/>
      <c r="G386" s="17"/>
      <c r="H386" s="17"/>
      <c r="I386" s="17"/>
    </row>
    <row r="387" customFormat="false" ht="15" hidden="false" customHeight="false" outlineLevel="0" collapsed="false">
      <c r="A387" s="17"/>
      <c r="B387" s="20"/>
      <c r="C387" s="17"/>
      <c r="D387" s="17"/>
      <c r="E387" s="17"/>
      <c r="F387" s="21"/>
      <c r="G387" s="17"/>
      <c r="H387" s="17"/>
      <c r="I387" s="17"/>
    </row>
    <row r="388" customFormat="false" ht="15" hidden="false" customHeight="false" outlineLevel="0" collapsed="false">
      <c r="A388" s="17"/>
      <c r="B388" s="20"/>
      <c r="C388" s="17"/>
      <c r="D388" s="17"/>
      <c r="E388" s="17"/>
      <c r="F388" s="21"/>
      <c r="G388" s="17"/>
      <c r="H388" s="17"/>
      <c r="I388" s="17"/>
    </row>
    <row r="389" customFormat="false" ht="15" hidden="false" customHeight="false" outlineLevel="0" collapsed="false">
      <c r="A389" s="17"/>
      <c r="B389" s="20"/>
      <c r="C389" s="17"/>
      <c r="D389" s="17"/>
      <c r="E389" s="17"/>
      <c r="F389" s="21"/>
      <c r="G389" s="17"/>
      <c r="H389" s="17"/>
      <c r="I389" s="17"/>
    </row>
    <row r="390" customFormat="false" ht="15" hidden="false" customHeight="false" outlineLevel="0" collapsed="false">
      <c r="A390" s="17"/>
      <c r="B390" s="20"/>
      <c r="C390" s="17"/>
      <c r="D390" s="17"/>
      <c r="E390" s="17"/>
      <c r="F390" s="21"/>
      <c r="G390" s="17"/>
      <c r="H390" s="17"/>
      <c r="I390" s="17"/>
    </row>
    <row r="391" customFormat="false" ht="15" hidden="false" customHeight="false" outlineLevel="0" collapsed="false">
      <c r="A391" s="17"/>
      <c r="B391" s="20"/>
      <c r="C391" s="17"/>
      <c r="D391" s="17"/>
      <c r="E391" s="17"/>
      <c r="F391" s="21"/>
      <c r="G391" s="17"/>
      <c r="H391" s="17"/>
      <c r="I391" s="17"/>
    </row>
    <row r="392" customFormat="false" ht="15" hidden="false" customHeight="false" outlineLevel="0" collapsed="false">
      <c r="A392" s="17"/>
      <c r="B392" s="20"/>
      <c r="C392" s="17"/>
      <c r="D392" s="17"/>
      <c r="E392" s="17"/>
      <c r="F392" s="21"/>
      <c r="G392" s="17"/>
      <c r="H392" s="17"/>
      <c r="I392" s="17"/>
    </row>
    <row r="393" customFormat="false" ht="15" hidden="false" customHeight="false" outlineLevel="0" collapsed="false">
      <c r="A393" s="17"/>
      <c r="B393" s="20"/>
      <c r="C393" s="17"/>
      <c r="D393" s="17"/>
      <c r="E393" s="17"/>
      <c r="F393" s="21"/>
      <c r="G393" s="17"/>
      <c r="H393" s="17"/>
      <c r="I393" s="17"/>
    </row>
    <row r="394" customFormat="false" ht="15" hidden="false" customHeight="false" outlineLevel="0" collapsed="false">
      <c r="A394" s="17"/>
      <c r="B394" s="20"/>
      <c r="C394" s="17"/>
      <c r="D394" s="17"/>
      <c r="E394" s="17"/>
      <c r="F394" s="21"/>
      <c r="G394" s="17"/>
      <c r="H394" s="17"/>
      <c r="I394" s="17"/>
    </row>
    <row r="395" customFormat="false" ht="15" hidden="false" customHeight="false" outlineLevel="0" collapsed="false">
      <c r="A395" s="17"/>
      <c r="B395" s="20"/>
      <c r="C395" s="17"/>
      <c r="D395" s="17"/>
      <c r="E395" s="17"/>
      <c r="F395" s="21"/>
      <c r="G395" s="17"/>
      <c r="H395" s="17"/>
      <c r="I395" s="17"/>
    </row>
    <row r="396" customFormat="false" ht="15" hidden="false" customHeight="false" outlineLevel="0" collapsed="false">
      <c r="A396" s="17"/>
      <c r="B396" s="20"/>
      <c r="C396" s="17"/>
      <c r="D396" s="17"/>
      <c r="E396" s="17"/>
      <c r="F396" s="21"/>
      <c r="G396" s="17"/>
      <c r="H396" s="17"/>
      <c r="I396" s="17"/>
    </row>
    <row r="397" customFormat="false" ht="15" hidden="false" customHeight="false" outlineLevel="0" collapsed="false">
      <c r="A397" s="17"/>
      <c r="B397" s="20"/>
      <c r="C397" s="17"/>
      <c r="D397" s="17"/>
      <c r="E397" s="17"/>
      <c r="F397" s="21"/>
      <c r="G397" s="17"/>
      <c r="H397" s="17"/>
      <c r="I397" s="17"/>
    </row>
    <row r="398" customFormat="false" ht="15" hidden="false" customHeight="false" outlineLevel="0" collapsed="false">
      <c r="A398" s="17"/>
      <c r="B398" s="20"/>
      <c r="C398" s="17"/>
      <c r="D398" s="17"/>
      <c r="E398" s="17"/>
      <c r="F398" s="21"/>
      <c r="G398" s="17"/>
      <c r="H398" s="17"/>
      <c r="I398" s="17"/>
    </row>
    <row r="399" customFormat="false" ht="15" hidden="false" customHeight="false" outlineLevel="0" collapsed="false">
      <c r="A399" s="17"/>
      <c r="B399" s="20"/>
      <c r="C399" s="17"/>
      <c r="D399" s="17"/>
      <c r="E399" s="17"/>
      <c r="F399" s="21"/>
      <c r="G399" s="17"/>
      <c r="H399" s="17"/>
      <c r="I399" s="17"/>
    </row>
    <row r="400" customFormat="false" ht="15" hidden="false" customHeight="false" outlineLevel="0" collapsed="false">
      <c r="A400" s="17"/>
      <c r="B400" s="20"/>
      <c r="C400" s="17"/>
      <c r="D400" s="17"/>
      <c r="E400" s="17"/>
      <c r="F400" s="21"/>
      <c r="G400" s="17"/>
      <c r="H400" s="17"/>
      <c r="I400" s="17"/>
    </row>
    <row r="401" customFormat="false" ht="15" hidden="false" customHeight="false" outlineLevel="0" collapsed="false">
      <c r="A401" s="17"/>
      <c r="B401" s="20"/>
      <c r="C401" s="17"/>
      <c r="D401" s="17"/>
      <c r="E401" s="17"/>
      <c r="F401" s="21"/>
      <c r="G401" s="17"/>
      <c r="H401" s="17"/>
      <c r="I401" s="17"/>
    </row>
    <row r="402" customFormat="false" ht="15" hidden="false" customHeight="false" outlineLevel="0" collapsed="false">
      <c r="A402" s="17"/>
      <c r="B402" s="20"/>
      <c r="C402" s="17"/>
      <c r="D402" s="17"/>
      <c r="E402" s="17"/>
      <c r="F402" s="21"/>
      <c r="G402" s="17"/>
      <c r="H402" s="17"/>
      <c r="I402" s="17"/>
    </row>
    <row r="403" customFormat="false" ht="15" hidden="false" customHeight="false" outlineLevel="0" collapsed="false">
      <c r="A403" s="17"/>
      <c r="B403" s="20"/>
      <c r="C403" s="17"/>
      <c r="D403" s="17"/>
      <c r="E403" s="17"/>
      <c r="F403" s="21"/>
      <c r="G403" s="17"/>
      <c r="H403" s="17"/>
      <c r="I403" s="17"/>
    </row>
    <row r="404" customFormat="false" ht="15" hidden="false" customHeight="false" outlineLevel="0" collapsed="false">
      <c r="A404" s="17"/>
      <c r="B404" s="20"/>
      <c r="C404" s="17"/>
      <c r="D404" s="17"/>
      <c r="E404" s="17"/>
      <c r="F404" s="21"/>
      <c r="G404" s="17"/>
      <c r="H404" s="17"/>
      <c r="I404" s="17"/>
    </row>
    <row r="405" customFormat="false" ht="15" hidden="false" customHeight="false" outlineLevel="0" collapsed="false">
      <c r="A405" s="17"/>
      <c r="B405" s="20"/>
      <c r="C405" s="17"/>
      <c r="D405" s="17"/>
      <c r="E405" s="17"/>
      <c r="F405" s="21"/>
      <c r="G405" s="17"/>
      <c r="H405" s="17"/>
      <c r="I405" s="17"/>
    </row>
    <row r="406" customFormat="false" ht="15" hidden="false" customHeight="false" outlineLevel="0" collapsed="false">
      <c r="A406" s="17"/>
      <c r="B406" s="20"/>
      <c r="C406" s="17"/>
      <c r="D406" s="17"/>
      <c r="E406" s="17"/>
      <c r="F406" s="21"/>
      <c r="G406" s="17"/>
      <c r="H406" s="17"/>
      <c r="I406" s="17"/>
    </row>
    <row r="407" customFormat="false" ht="15" hidden="false" customHeight="false" outlineLevel="0" collapsed="false">
      <c r="A407" s="17"/>
      <c r="B407" s="20"/>
      <c r="C407" s="17"/>
      <c r="D407" s="17"/>
      <c r="E407" s="17"/>
      <c r="F407" s="21"/>
      <c r="G407" s="17"/>
      <c r="H407" s="17"/>
      <c r="I407" s="17"/>
    </row>
    <row r="408" customFormat="false" ht="15" hidden="false" customHeight="false" outlineLevel="0" collapsed="false">
      <c r="A408" s="17"/>
      <c r="B408" s="20"/>
      <c r="C408" s="17"/>
      <c r="D408" s="17"/>
      <c r="E408" s="17"/>
      <c r="F408" s="21"/>
      <c r="G408" s="17"/>
      <c r="H408" s="17"/>
      <c r="I408" s="17"/>
    </row>
    <row r="409" customFormat="false" ht="15" hidden="false" customHeight="false" outlineLevel="0" collapsed="false">
      <c r="A409" s="17"/>
      <c r="B409" s="20"/>
      <c r="C409" s="17"/>
      <c r="D409" s="17"/>
      <c r="E409" s="17"/>
      <c r="F409" s="21"/>
      <c r="G409" s="17"/>
      <c r="H409" s="17"/>
      <c r="I409" s="17"/>
    </row>
    <row r="410" customFormat="false" ht="15" hidden="false" customHeight="false" outlineLevel="0" collapsed="false">
      <c r="A410" s="17"/>
      <c r="B410" s="20"/>
      <c r="C410" s="17"/>
      <c r="D410" s="17"/>
      <c r="E410" s="17"/>
      <c r="F410" s="21"/>
      <c r="G410" s="17"/>
      <c r="H410" s="17"/>
      <c r="I410" s="17"/>
    </row>
    <row r="411" customFormat="false" ht="15" hidden="false" customHeight="false" outlineLevel="0" collapsed="false">
      <c r="A411" s="17"/>
      <c r="B411" s="20"/>
      <c r="C411" s="17"/>
      <c r="D411" s="17"/>
      <c r="E411" s="17"/>
      <c r="F411" s="21"/>
      <c r="G411" s="17"/>
      <c r="H411" s="17"/>
      <c r="I411" s="17"/>
    </row>
    <row r="412" customFormat="false" ht="15" hidden="false" customHeight="false" outlineLevel="0" collapsed="false">
      <c r="A412" s="17"/>
      <c r="B412" s="20"/>
      <c r="C412" s="17"/>
      <c r="D412" s="17"/>
      <c r="E412" s="17"/>
      <c r="F412" s="21"/>
      <c r="G412" s="17"/>
      <c r="H412" s="17"/>
      <c r="I412" s="17"/>
    </row>
    <row r="413" customFormat="false" ht="15" hidden="false" customHeight="false" outlineLevel="0" collapsed="false">
      <c r="A413" s="17"/>
      <c r="B413" s="20"/>
      <c r="C413" s="17"/>
      <c r="D413" s="17"/>
      <c r="E413" s="17"/>
      <c r="F413" s="21"/>
      <c r="G413" s="17"/>
      <c r="H413" s="17"/>
      <c r="I413" s="17"/>
    </row>
    <row r="414" customFormat="false" ht="15" hidden="false" customHeight="false" outlineLevel="0" collapsed="false">
      <c r="A414" s="17"/>
      <c r="B414" s="20"/>
      <c r="C414" s="17"/>
      <c r="D414" s="17"/>
      <c r="E414" s="17"/>
      <c r="F414" s="21"/>
      <c r="G414" s="17"/>
      <c r="H414" s="17"/>
      <c r="I414" s="17"/>
    </row>
    <row r="415" customFormat="false" ht="15" hidden="false" customHeight="false" outlineLevel="0" collapsed="false">
      <c r="A415" s="17"/>
      <c r="B415" s="20"/>
      <c r="C415" s="17"/>
      <c r="D415" s="17"/>
      <c r="E415" s="17"/>
      <c r="F415" s="21"/>
      <c r="G415" s="17"/>
      <c r="H415" s="17"/>
      <c r="I415" s="17"/>
    </row>
    <row r="416" customFormat="false" ht="15" hidden="false" customHeight="false" outlineLevel="0" collapsed="false">
      <c r="A416" s="17"/>
      <c r="B416" s="20"/>
      <c r="C416" s="17"/>
      <c r="D416" s="17"/>
      <c r="E416" s="17"/>
      <c r="F416" s="21"/>
      <c r="G416" s="17"/>
      <c r="H416" s="17"/>
      <c r="I416" s="17"/>
    </row>
    <row r="417" customFormat="false" ht="15" hidden="false" customHeight="false" outlineLevel="0" collapsed="false">
      <c r="A417" s="17"/>
      <c r="B417" s="20"/>
      <c r="C417" s="17"/>
      <c r="D417" s="17"/>
      <c r="E417" s="17"/>
      <c r="F417" s="21"/>
      <c r="G417" s="17"/>
      <c r="H417" s="17"/>
      <c r="I417" s="17"/>
    </row>
    <row r="418" customFormat="false" ht="15" hidden="false" customHeight="false" outlineLevel="0" collapsed="false">
      <c r="A418" s="17"/>
      <c r="B418" s="20"/>
      <c r="C418" s="17"/>
      <c r="D418" s="17"/>
      <c r="E418" s="17"/>
      <c r="F418" s="21"/>
      <c r="G418" s="17"/>
      <c r="H418" s="17"/>
      <c r="I418" s="17"/>
    </row>
    <row r="419" customFormat="false" ht="15" hidden="false" customHeight="false" outlineLevel="0" collapsed="false">
      <c r="A419" s="17"/>
      <c r="B419" s="20"/>
      <c r="C419" s="17"/>
      <c r="D419" s="17"/>
      <c r="E419" s="17"/>
      <c r="F419" s="21"/>
      <c r="G419" s="17"/>
      <c r="H419" s="17"/>
      <c r="I419" s="17"/>
    </row>
    <row r="420" customFormat="false" ht="15" hidden="false" customHeight="false" outlineLevel="0" collapsed="false">
      <c r="A420" s="17"/>
      <c r="B420" s="20"/>
      <c r="C420" s="17"/>
      <c r="D420" s="17"/>
      <c r="E420" s="17"/>
      <c r="F420" s="21"/>
      <c r="G420" s="17"/>
      <c r="H420" s="17"/>
      <c r="I420" s="17"/>
    </row>
    <row r="421" customFormat="false" ht="15" hidden="false" customHeight="false" outlineLevel="0" collapsed="false">
      <c r="A421" s="17"/>
      <c r="B421" s="20"/>
      <c r="C421" s="17"/>
      <c r="D421" s="17"/>
      <c r="E421" s="17"/>
      <c r="F421" s="21"/>
      <c r="G421" s="17"/>
      <c r="H421" s="17"/>
      <c r="I421" s="17"/>
    </row>
    <row r="422" customFormat="false" ht="15" hidden="false" customHeight="false" outlineLevel="0" collapsed="false">
      <c r="A422" s="17"/>
      <c r="B422" s="20"/>
      <c r="C422" s="17"/>
      <c r="D422" s="17"/>
      <c r="E422" s="17"/>
      <c r="F422" s="21"/>
      <c r="G422" s="17"/>
      <c r="H422" s="17"/>
      <c r="I422" s="17"/>
    </row>
    <row r="423" customFormat="false" ht="15" hidden="false" customHeight="false" outlineLevel="0" collapsed="false">
      <c r="A423" s="17"/>
      <c r="B423" s="20"/>
      <c r="C423" s="17"/>
      <c r="D423" s="17"/>
      <c r="E423" s="17"/>
      <c r="F423" s="21"/>
      <c r="G423" s="17"/>
      <c r="H423" s="17"/>
      <c r="I423" s="17"/>
    </row>
    <row r="424" customFormat="false" ht="15" hidden="false" customHeight="false" outlineLevel="0" collapsed="false">
      <c r="A424" s="17"/>
      <c r="B424" s="20"/>
      <c r="C424" s="17"/>
      <c r="D424" s="17"/>
      <c r="E424" s="17"/>
      <c r="F424" s="21"/>
      <c r="G424" s="17"/>
      <c r="H424" s="17"/>
      <c r="I424" s="17"/>
    </row>
    <row r="425" customFormat="false" ht="15" hidden="false" customHeight="false" outlineLevel="0" collapsed="false">
      <c r="A425" s="17"/>
      <c r="B425" s="20"/>
      <c r="C425" s="17"/>
      <c r="D425" s="17"/>
      <c r="E425" s="17"/>
      <c r="F425" s="21"/>
      <c r="G425" s="17"/>
      <c r="H425" s="17"/>
      <c r="I425" s="17"/>
    </row>
    <row r="426" customFormat="false" ht="15" hidden="false" customHeight="false" outlineLevel="0" collapsed="false">
      <c r="A426" s="17"/>
      <c r="B426" s="20"/>
      <c r="C426" s="17"/>
      <c r="D426" s="17"/>
      <c r="E426" s="17"/>
      <c r="F426" s="21"/>
      <c r="G426" s="17"/>
      <c r="H426" s="17"/>
      <c r="I426" s="17"/>
    </row>
    <row r="427" customFormat="false" ht="15" hidden="false" customHeight="false" outlineLevel="0" collapsed="false">
      <c r="A427" s="17"/>
      <c r="B427" s="20"/>
      <c r="C427" s="17"/>
      <c r="D427" s="17"/>
      <c r="E427" s="17"/>
      <c r="F427" s="21"/>
      <c r="G427" s="17"/>
      <c r="H427" s="17"/>
      <c r="I427" s="17"/>
    </row>
    <row r="428" customFormat="false" ht="15" hidden="false" customHeight="false" outlineLevel="0" collapsed="false">
      <c r="A428" s="17"/>
      <c r="B428" s="20"/>
      <c r="C428" s="17"/>
      <c r="D428" s="17"/>
      <c r="E428" s="17"/>
      <c r="F428" s="21"/>
      <c r="G428" s="17"/>
      <c r="H428" s="17"/>
      <c r="I428" s="17"/>
    </row>
    <row r="429" customFormat="false" ht="15" hidden="false" customHeight="false" outlineLevel="0" collapsed="false">
      <c r="A429" s="17"/>
      <c r="B429" s="20"/>
      <c r="C429" s="17"/>
      <c r="D429" s="17"/>
      <c r="E429" s="17"/>
      <c r="F429" s="21"/>
      <c r="G429" s="17"/>
      <c r="H429" s="17"/>
      <c r="I429" s="17"/>
    </row>
    <row r="430" customFormat="false" ht="15" hidden="false" customHeight="false" outlineLevel="0" collapsed="false">
      <c r="A430" s="17"/>
      <c r="B430" s="20"/>
      <c r="C430" s="17"/>
      <c r="D430" s="17"/>
      <c r="E430" s="17"/>
      <c r="F430" s="21"/>
      <c r="G430" s="17"/>
      <c r="H430" s="17"/>
      <c r="I430" s="17"/>
    </row>
    <row r="431" customFormat="false" ht="15" hidden="false" customHeight="false" outlineLevel="0" collapsed="false">
      <c r="A431" s="17"/>
      <c r="B431" s="20"/>
      <c r="C431" s="17"/>
      <c r="D431" s="17"/>
      <c r="E431" s="17"/>
      <c r="F431" s="21"/>
      <c r="G431" s="17"/>
      <c r="H431" s="17"/>
      <c r="I431" s="17"/>
    </row>
    <row r="432" customFormat="false" ht="15" hidden="false" customHeight="false" outlineLevel="0" collapsed="false">
      <c r="A432" s="17"/>
      <c r="B432" s="20"/>
      <c r="C432" s="17"/>
      <c r="D432" s="17"/>
      <c r="E432" s="17"/>
      <c r="F432" s="21"/>
      <c r="G432" s="17"/>
      <c r="H432" s="17"/>
      <c r="I432" s="17"/>
    </row>
    <row r="433" customFormat="false" ht="15" hidden="false" customHeight="false" outlineLevel="0" collapsed="false">
      <c r="A433" s="17"/>
      <c r="B433" s="20"/>
      <c r="C433" s="17"/>
      <c r="D433" s="17"/>
      <c r="E433" s="17"/>
      <c r="F433" s="21"/>
      <c r="G433" s="17"/>
      <c r="H433" s="17"/>
      <c r="I433" s="17"/>
    </row>
    <row r="434" customFormat="false" ht="15" hidden="false" customHeight="false" outlineLevel="0" collapsed="false">
      <c r="A434" s="17"/>
      <c r="B434" s="20"/>
      <c r="C434" s="17"/>
      <c r="D434" s="17"/>
      <c r="E434" s="17"/>
      <c r="F434" s="21"/>
      <c r="G434" s="17"/>
      <c r="H434" s="17"/>
      <c r="I434" s="17"/>
    </row>
    <row r="435" customFormat="false" ht="15" hidden="false" customHeight="false" outlineLevel="0" collapsed="false">
      <c r="A435" s="17"/>
      <c r="B435" s="20"/>
      <c r="C435" s="17"/>
      <c r="D435" s="17"/>
      <c r="E435" s="17"/>
      <c r="F435" s="21"/>
      <c r="G435" s="17"/>
      <c r="H435" s="17"/>
      <c r="I435" s="17"/>
    </row>
    <row r="436" customFormat="false" ht="15" hidden="false" customHeight="false" outlineLevel="0" collapsed="false">
      <c r="A436" s="17"/>
      <c r="B436" s="20"/>
      <c r="C436" s="17"/>
      <c r="D436" s="17"/>
      <c r="E436" s="17"/>
      <c r="F436" s="21"/>
      <c r="G436" s="17"/>
      <c r="H436" s="17"/>
      <c r="I436" s="17"/>
    </row>
    <row r="437" customFormat="false" ht="15" hidden="false" customHeight="false" outlineLevel="0" collapsed="false">
      <c r="A437" s="17"/>
      <c r="B437" s="20"/>
      <c r="C437" s="17"/>
      <c r="D437" s="17"/>
      <c r="E437" s="17"/>
      <c r="F437" s="21"/>
      <c r="G437" s="17"/>
      <c r="H437" s="17"/>
      <c r="I437" s="17"/>
    </row>
    <row r="438" customFormat="false" ht="15" hidden="false" customHeight="false" outlineLevel="0" collapsed="false">
      <c r="A438" s="17"/>
      <c r="B438" s="20"/>
      <c r="C438" s="17"/>
      <c r="D438" s="17"/>
      <c r="E438" s="17"/>
      <c r="F438" s="21"/>
      <c r="G438" s="17"/>
      <c r="H438" s="17"/>
      <c r="I438" s="17"/>
    </row>
    <row r="439" customFormat="false" ht="15" hidden="false" customHeight="false" outlineLevel="0" collapsed="false">
      <c r="A439" s="17"/>
      <c r="B439" s="20"/>
      <c r="C439" s="17"/>
      <c r="D439" s="17"/>
      <c r="E439" s="17"/>
      <c r="F439" s="21"/>
      <c r="G439" s="17"/>
      <c r="H439" s="17"/>
      <c r="I439" s="17"/>
    </row>
    <row r="440" customFormat="false" ht="15" hidden="false" customHeight="false" outlineLevel="0" collapsed="false">
      <c r="A440" s="17"/>
      <c r="B440" s="20"/>
      <c r="C440" s="17"/>
      <c r="D440" s="17"/>
      <c r="E440" s="17"/>
      <c r="F440" s="21"/>
      <c r="G440" s="17"/>
      <c r="H440" s="17"/>
      <c r="I440" s="17"/>
    </row>
    <row r="441" customFormat="false" ht="15" hidden="false" customHeight="false" outlineLevel="0" collapsed="false">
      <c r="A441" s="17"/>
      <c r="B441" s="20"/>
      <c r="C441" s="17"/>
      <c r="D441" s="17"/>
      <c r="E441" s="17"/>
      <c r="F441" s="21"/>
      <c r="G441" s="17"/>
      <c r="H441" s="17"/>
      <c r="I441" s="17"/>
    </row>
    <row r="442" customFormat="false" ht="15" hidden="false" customHeight="false" outlineLevel="0" collapsed="false">
      <c r="A442" s="17"/>
      <c r="B442" s="20"/>
      <c r="C442" s="17"/>
      <c r="D442" s="17"/>
      <c r="E442" s="17"/>
      <c r="F442" s="21"/>
      <c r="G442" s="17"/>
      <c r="H442" s="17"/>
      <c r="I442" s="17"/>
    </row>
    <row r="443" customFormat="false" ht="15" hidden="false" customHeight="false" outlineLevel="0" collapsed="false">
      <c r="A443" s="17"/>
      <c r="B443" s="20"/>
      <c r="C443" s="17"/>
      <c r="D443" s="17"/>
      <c r="E443" s="17"/>
      <c r="F443" s="21"/>
      <c r="G443" s="17"/>
      <c r="H443" s="17"/>
      <c r="I443" s="17"/>
    </row>
    <row r="444" customFormat="false" ht="15" hidden="false" customHeight="false" outlineLevel="0" collapsed="false">
      <c r="A444" s="17"/>
      <c r="B444" s="20"/>
      <c r="C444" s="17"/>
      <c r="D444" s="17"/>
      <c r="E444" s="17"/>
      <c r="F444" s="21"/>
      <c r="G444" s="17"/>
      <c r="H444" s="17"/>
      <c r="I444" s="17"/>
    </row>
    <row r="445" customFormat="false" ht="15" hidden="false" customHeight="false" outlineLevel="0" collapsed="false">
      <c r="A445" s="17"/>
      <c r="B445" s="20"/>
      <c r="C445" s="17"/>
      <c r="D445" s="17"/>
      <c r="E445" s="17"/>
      <c r="F445" s="21"/>
      <c r="G445" s="17"/>
      <c r="H445" s="17"/>
      <c r="I445" s="17"/>
    </row>
    <row r="446" customFormat="false" ht="15" hidden="false" customHeight="false" outlineLevel="0" collapsed="false">
      <c r="A446" s="17"/>
      <c r="B446" s="20"/>
      <c r="C446" s="17"/>
      <c r="D446" s="17"/>
      <c r="E446" s="17"/>
      <c r="F446" s="21"/>
      <c r="G446" s="17"/>
      <c r="H446" s="17"/>
      <c r="I446" s="17"/>
    </row>
    <row r="447" customFormat="false" ht="15" hidden="false" customHeight="false" outlineLevel="0" collapsed="false">
      <c r="A447" s="17"/>
      <c r="B447" s="20"/>
      <c r="C447" s="17"/>
      <c r="D447" s="17"/>
      <c r="E447" s="17"/>
      <c r="F447" s="21"/>
      <c r="G447" s="17"/>
      <c r="H447" s="17"/>
      <c r="I447" s="17"/>
    </row>
    <row r="448" customFormat="false" ht="15" hidden="false" customHeight="false" outlineLevel="0" collapsed="false">
      <c r="A448" s="17"/>
      <c r="B448" s="20"/>
      <c r="C448" s="17"/>
      <c r="D448" s="17"/>
      <c r="E448" s="17"/>
      <c r="F448" s="21"/>
      <c r="G448" s="17"/>
      <c r="H448" s="17"/>
      <c r="I448" s="17"/>
    </row>
    <row r="449" customFormat="false" ht="15" hidden="false" customHeight="false" outlineLevel="0" collapsed="false">
      <c r="A449" s="17"/>
      <c r="B449" s="20"/>
      <c r="C449" s="17"/>
      <c r="D449" s="17"/>
      <c r="E449" s="17"/>
      <c r="F449" s="21"/>
      <c r="G449" s="17"/>
      <c r="H449" s="17"/>
      <c r="I449" s="17"/>
    </row>
    <row r="450" customFormat="false" ht="15" hidden="false" customHeight="false" outlineLevel="0" collapsed="false">
      <c r="A450" s="17"/>
      <c r="B450" s="20"/>
      <c r="C450" s="17"/>
      <c r="D450" s="17"/>
      <c r="E450" s="17"/>
      <c r="F450" s="21"/>
      <c r="G450" s="17"/>
      <c r="H450" s="17"/>
      <c r="I450" s="17"/>
    </row>
    <row r="451" customFormat="false" ht="15" hidden="false" customHeight="false" outlineLevel="0" collapsed="false">
      <c r="A451" s="17"/>
      <c r="B451" s="20"/>
      <c r="C451" s="17"/>
      <c r="D451" s="17"/>
      <c r="E451" s="17"/>
      <c r="F451" s="21"/>
      <c r="G451" s="17"/>
      <c r="H451" s="17"/>
      <c r="I451" s="17"/>
    </row>
    <row r="452" customFormat="false" ht="15" hidden="false" customHeight="false" outlineLevel="0" collapsed="false">
      <c r="A452" s="17"/>
      <c r="B452" s="20"/>
      <c r="C452" s="17"/>
      <c r="D452" s="17"/>
      <c r="E452" s="17"/>
      <c r="F452" s="21"/>
      <c r="G452" s="17"/>
      <c r="H452" s="17"/>
      <c r="I452" s="17"/>
    </row>
    <row r="453" customFormat="false" ht="15" hidden="false" customHeight="false" outlineLevel="0" collapsed="false">
      <c r="A453" s="17"/>
      <c r="B453" s="20"/>
      <c r="C453" s="17"/>
      <c r="D453" s="17"/>
      <c r="E453" s="17"/>
      <c r="F453" s="21"/>
      <c r="G453" s="17"/>
      <c r="H453" s="17"/>
      <c r="I453" s="17"/>
    </row>
    <row r="454" customFormat="false" ht="15" hidden="false" customHeight="false" outlineLevel="0" collapsed="false">
      <c r="A454" s="17"/>
      <c r="B454" s="20"/>
      <c r="C454" s="17"/>
      <c r="D454" s="17"/>
      <c r="E454" s="17"/>
      <c r="F454" s="21"/>
      <c r="G454" s="17"/>
      <c r="H454" s="17"/>
      <c r="I454" s="17"/>
    </row>
    <row r="455" customFormat="false" ht="15" hidden="false" customHeight="false" outlineLevel="0" collapsed="false">
      <c r="A455" s="17"/>
      <c r="B455" s="20"/>
      <c r="C455" s="17"/>
      <c r="D455" s="17"/>
      <c r="E455" s="17"/>
      <c r="F455" s="21"/>
      <c r="G455" s="17"/>
      <c r="H455" s="17"/>
      <c r="I455" s="17"/>
    </row>
    <row r="456" customFormat="false" ht="15" hidden="false" customHeight="false" outlineLevel="0" collapsed="false">
      <c r="A456" s="17"/>
      <c r="B456" s="20"/>
      <c r="C456" s="17"/>
      <c r="D456" s="17"/>
      <c r="E456" s="17"/>
      <c r="F456" s="21"/>
      <c r="G456" s="17"/>
      <c r="H456" s="17"/>
      <c r="I456" s="17"/>
    </row>
    <row r="457" customFormat="false" ht="15" hidden="false" customHeight="false" outlineLevel="0" collapsed="false">
      <c r="A457" s="17"/>
      <c r="B457" s="20"/>
      <c r="C457" s="17"/>
      <c r="D457" s="17"/>
      <c r="E457" s="17"/>
      <c r="F457" s="21"/>
      <c r="G457" s="17"/>
      <c r="H457" s="17"/>
      <c r="I457" s="17"/>
    </row>
    <row r="458" customFormat="false" ht="15" hidden="false" customHeight="false" outlineLevel="0" collapsed="false">
      <c r="A458" s="17"/>
      <c r="B458" s="20"/>
      <c r="C458" s="17"/>
      <c r="D458" s="17"/>
      <c r="E458" s="17"/>
      <c r="F458" s="21"/>
      <c r="G458" s="17"/>
      <c r="H458" s="17"/>
      <c r="I458" s="17"/>
    </row>
    <row r="459" customFormat="false" ht="15" hidden="false" customHeight="false" outlineLevel="0" collapsed="false">
      <c r="A459" s="17"/>
      <c r="B459" s="20"/>
      <c r="C459" s="17"/>
      <c r="D459" s="17"/>
      <c r="E459" s="17"/>
      <c r="F459" s="21"/>
      <c r="G459" s="17"/>
      <c r="H459" s="17"/>
      <c r="I459" s="17"/>
    </row>
    <row r="460" customFormat="false" ht="15" hidden="false" customHeight="false" outlineLevel="0" collapsed="false">
      <c r="A460" s="17"/>
      <c r="B460" s="20"/>
      <c r="C460" s="17"/>
      <c r="D460" s="17"/>
      <c r="E460" s="17"/>
      <c r="F460" s="21"/>
      <c r="G460" s="17"/>
      <c r="H460" s="17"/>
      <c r="I460" s="17"/>
    </row>
    <row r="461" customFormat="false" ht="15" hidden="false" customHeight="false" outlineLevel="0" collapsed="false">
      <c r="A461" s="17"/>
      <c r="B461" s="20"/>
      <c r="C461" s="17"/>
      <c r="D461" s="17"/>
      <c r="E461" s="17"/>
      <c r="F461" s="21"/>
      <c r="G461" s="17"/>
      <c r="H461" s="17"/>
      <c r="I461" s="17"/>
    </row>
    <row r="462" customFormat="false" ht="15" hidden="false" customHeight="false" outlineLevel="0" collapsed="false">
      <c r="A462" s="17"/>
      <c r="B462" s="20"/>
      <c r="C462" s="17"/>
      <c r="D462" s="17"/>
      <c r="E462" s="17"/>
      <c r="F462" s="21"/>
      <c r="G462" s="17"/>
      <c r="H462" s="17"/>
      <c r="I462" s="17"/>
    </row>
    <row r="463" customFormat="false" ht="15" hidden="false" customHeight="false" outlineLevel="0" collapsed="false">
      <c r="A463" s="17"/>
      <c r="B463" s="20"/>
      <c r="C463" s="17"/>
      <c r="D463" s="17"/>
      <c r="E463" s="17"/>
      <c r="F463" s="21"/>
      <c r="G463" s="17"/>
      <c r="H463" s="17"/>
      <c r="I463" s="17"/>
    </row>
    <row r="464" customFormat="false" ht="15" hidden="false" customHeight="false" outlineLevel="0" collapsed="false">
      <c r="A464" s="17"/>
      <c r="B464" s="20"/>
      <c r="C464" s="17"/>
      <c r="D464" s="17"/>
      <c r="E464" s="17"/>
      <c r="F464" s="21"/>
      <c r="G464" s="17"/>
      <c r="H464" s="17"/>
      <c r="I464" s="17"/>
    </row>
    <row r="465" customFormat="false" ht="15" hidden="false" customHeight="false" outlineLevel="0" collapsed="false">
      <c r="A465" s="17"/>
      <c r="B465" s="20"/>
      <c r="C465" s="17"/>
      <c r="D465" s="17"/>
      <c r="E465" s="17"/>
      <c r="F465" s="21"/>
      <c r="G465" s="17"/>
      <c r="H465" s="17"/>
      <c r="I465" s="17"/>
    </row>
    <row r="466" customFormat="false" ht="15" hidden="false" customHeight="false" outlineLevel="0" collapsed="false">
      <c r="A466" s="17"/>
      <c r="B466" s="20"/>
      <c r="C466" s="17"/>
      <c r="D466" s="17"/>
      <c r="E466" s="17"/>
      <c r="F466" s="21"/>
      <c r="G466" s="17"/>
      <c r="H466" s="17"/>
      <c r="I466" s="17"/>
    </row>
    <row r="467" customFormat="false" ht="15" hidden="false" customHeight="false" outlineLevel="0" collapsed="false">
      <c r="A467" s="17"/>
      <c r="B467" s="20"/>
      <c r="C467" s="17"/>
      <c r="D467" s="17"/>
      <c r="E467" s="17"/>
      <c r="F467" s="21"/>
      <c r="G467" s="17"/>
      <c r="H467" s="17"/>
      <c r="I467" s="17"/>
    </row>
    <row r="468" customFormat="false" ht="15" hidden="false" customHeight="false" outlineLevel="0" collapsed="false">
      <c r="A468" s="17"/>
      <c r="B468" s="20"/>
      <c r="C468" s="17"/>
      <c r="D468" s="17"/>
      <c r="E468" s="17"/>
      <c r="F468" s="21"/>
      <c r="G468" s="17"/>
      <c r="H468" s="17"/>
      <c r="I468" s="17"/>
    </row>
    <row r="469" customFormat="false" ht="15" hidden="false" customHeight="false" outlineLevel="0" collapsed="false">
      <c r="A469" s="17"/>
      <c r="B469" s="20"/>
      <c r="C469" s="17"/>
      <c r="D469" s="17"/>
      <c r="E469" s="17"/>
      <c r="F469" s="21"/>
      <c r="G469" s="17"/>
      <c r="H469" s="17"/>
      <c r="I469" s="17"/>
    </row>
    <row r="470" customFormat="false" ht="15" hidden="false" customHeight="false" outlineLevel="0" collapsed="false">
      <c r="A470" s="17"/>
      <c r="B470" s="20"/>
      <c r="C470" s="17"/>
      <c r="D470" s="17"/>
      <c r="E470" s="17"/>
      <c r="F470" s="21"/>
      <c r="G470" s="17"/>
      <c r="H470" s="17"/>
      <c r="I470" s="17"/>
    </row>
    <row r="471" customFormat="false" ht="15" hidden="false" customHeight="false" outlineLevel="0" collapsed="false">
      <c r="A471" s="17"/>
      <c r="B471" s="20"/>
      <c r="C471" s="17"/>
      <c r="D471" s="17"/>
      <c r="E471" s="17"/>
      <c r="F471" s="21"/>
      <c r="G471" s="17"/>
      <c r="H471" s="17"/>
      <c r="I471" s="17"/>
    </row>
    <row r="472" customFormat="false" ht="15" hidden="false" customHeight="false" outlineLevel="0" collapsed="false">
      <c r="A472" s="17"/>
      <c r="B472" s="20"/>
      <c r="C472" s="17"/>
      <c r="D472" s="17"/>
      <c r="E472" s="17"/>
      <c r="F472" s="21"/>
      <c r="G472" s="17"/>
      <c r="H472" s="17"/>
      <c r="I472" s="17"/>
    </row>
    <row r="473" customFormat="false" ht="15" hidden="false" customHeight="false" outlineLevel="0" collapsed="false">
      <c r="A473" s="17"/>
      <c r="B473" s="20"/>
      <c r="C473" s="17"/>
      <c r="D473" s="17"/>
      <c r="E473" s="17"/>
      <c r="F473" s="21"/>
      <c r="G473" s="17"/>
      <c r="H473" s="17"/>
      <c r="I473" s="17"/>
    </row>
    <row r="474" customFormat="false" ht="15" hidden="false" customHeight="false" outlineLevel="0" collapsed="false">
      <c r="A474" s="17"/>
      <c r="B474" s="20"/>
      <c r="C474" s="17"/>
      <c r="D474" s="17"/>
      <c r="E474" s="17"/>
      <c r="F474" s="21"/>
      <c r="G474" s="17"/>
      <c r="H474" s="17"/>
      <c r="I474" s="17"/>
    </row>
    <row r="475" customFormat="false" ht="15" hidden="false" customHeight="false" outlineLevel="0" collapsed="false">
      <c r="A475" s="17"/>
      <c r="B475" s="20"/>
      <c r="C475" s="17"/>
      <c r="D475" s="17"/>
      <c r="E475" s="17"/>
      <c r="F475" s="21"/>
      <c r="G475" s="17"/>
      <c r="H475" s="17"/>
      <c r="I475" s="17"/>
    </row>
    <row r="476" customFormat="false" ht="15" hidden="false" customHeight="false" outlineLevel="0" collapsed="false">
      <c r="A476" s="17"/>
      <c r="B476" s="20"/>
      <c r="C476" s="17"/>
      <c r="D476" s="17"/>
      <c r="E476" s="17"/>
      <c r="F476" s="21"/>
      <c r="G476" s="17"/>
      <c r="H476" s="17"/>
      <c r="I476" s="17"/>
    </row>
    <row r="477" customFormat="false" ht="15" hidden="false" customHeight="false" outlineLevel="0" collapsed="false">
      <c r="A477" s="17"/>
      <c r="B477" s="20"/>
      <c r="C477" s="17"/>
      <c r="D477" s="17"/>
      <c r="E477" s="17"/>
      <c r="F477" s="21"/>
      <c r="G477" s="17"/>
      <c r="H477" s="17"/>
      <c r="I477" s="17"/>
    </row>
    <row r="478" customFormat="false" ht="15" hidden="false" customHeight="false" outlineLevel="0" collapsed="false">
      <c r="A478" s="17"/>
      <c r="B478" s="20"/>
      <c r="C478" s="17"/>
      <c r="D478" s="17"/>
      <c r="E478" s="17"/>
      <c r="F478" s="21"/>
      <c r="G478" s="17"/>
      <c r="H478" s="17"/>
      <c r="I478" s="17"/>
    </row>
    <row r="479" customFormat="false" ht="15" hidden="false" customHeight="false" outlineLevel="0" collapsed="false">
      <c r="A479" s="17"/>
      <c r="B479" s="20"/>
      <c r="C479" s="17"/>
      <c r="D479" s="17"/>
      <c r="E479" s="17"/>
      <c r="F479" s="21"/>
      <c r="G479" s="17"/>
      <c r="H479" s="17"/>
      <c r="I479" s="17"/>
    </row>
    <row r="480" customFormat="false" ht="15" hidden="false" customHeight="false" outlineLevel="0" collapsed="false">
      <c r="A480" s="17"/>
      <c r="B480" s="20"/>
      <c r="C480" s="17"/>
      <c r="D480" s="17"/>
      <c r="E480" s="17"/>
      <c r="F480" s="21"/>
      <c r="G480" s="17"/>
      <c r="H480" s="17"/>
      <c r="I480" s="17"/>
    </row>
    <row r="481" customFormat="false" ht="15" hidden="false" customHeight="false" outlineLevel="0" collapsed="false">
      <c r="A481" s="17"/>
      <c r="B481" s="20"/>
      <c r="C481" s="17"/>
      <c r="D481" s="17"/>
      <c r="E481" s="17"/>
      <c r="F481" s="21"/>
      <c r="G481" s="17"/>
      <c r="H481" s="17"/>
      <c r="I481" s="17"/>
    </row>
    <row r="482" customFormat="false" ht="15" hidden="false" customHeight="false" outlineLevel="0" collapsed="false">
      <c r="A482" s="17"/>
      <c r="B482" s="20"/>
      <c r="C482" s="17"/>
      <c r="D482" s="17"/>
      <c r="E482" s="17"/>
      <c r="F482" s="21"/>
      <c r="G482" s="17"/>
      <c r="H482" s="17"/>
      <c r="I482" s="17"/>
    </row>
    <row r="483" customFormat="false" ht="15" hidden="false" customHeight="false" outlineLevel="0" collapsed="false">
      <c r="A483" s="17"/>
      <c r="B483" s="20"/>
      <c r="C483" s="17"/>
      <c r="D483" s="17"/>
      <c r="E483" s="17"/>
      <c r="F483" s="21"/>
      <c r="G483" s="17"/>
      <c r="H483" s="17"/>
      <c r="I483" s="17"/>
    </row>
    <row r="484" customFormat="false" ht="15" hidden="false" customHeight="false" outlineLevel="0" collapsed="false">
      <c r="A484" s="17"/>
      <c r="B484" s="20"/>
      <c r="C484" s="17"/>
      <c r="D484" s="17"/>
      <c r="E484" s="17"/>
      <c r="F484" s="21"/>
      <c r="G484" s="17"/>
      <c r="H484" s="17"/>
      <c r="I484" s="17"/>
    </row>
    <row r="485" customFormat="false" ht="15" hidden="false" customHeight="false" outlineLevel="0" collapsed="false">
      <c r="A485" s="17"/>
      <c r="B485" s="20"/>
      <c r="C485" s="17"/>
      <c r="D485" s="17"/>
      <c r="E485" s="17"/>
      <c r="F485" s="21"/>
      <c r="G485" s="17"/>
      <c r="H485" s="17"/>
      <c r="I485" s="17"/>
    </row>
    <row r="486" customFormat="false" ht="15" hidden="false" customHeight="false" outlineLevel="0" collapsed="false">
      <c r="A486" s="17"/>
      <c r="B486" s="20"/>
      <c r="C486" s="17"/>
      <c r="D486" s="17"/>
      <c r="E486" s="17"/>
      <c r="F486" s="21"/>
      <c r="G486" s="17"/>
      <c r="H486" s="17"/>
      <c r="I486" s="17"/>
    </row>
    <row r="487" customFormat="false" ht="15" hidden="false" customHeight="false" outlineLevel="0" collapsed="false">
      <c r="A487" s="17"/>
      <c r="B487" s="20"/>
      <c r="C487" s="17"/>
      <c r="D487" s="17"/>
      <c r="E487" s="17"/>
      <c r="F487" s="21"/>
      <c r="G487" s="17"/>
      <c r="H487" s="17"/>
      <c r="I487" s="17"/>
    </row>
    <row r="488" customFormat="false" ht="15" hidden="false" customHeight="false" outlineLevel="0" collapsed="false">
      <c r="A488" s="17"/>
      <c r="B488" s="20"/>
      <c r="C488" s="17"/>
      <c r="D488" s="17"/>
      <c r="E488" s="17"/>
      <c r="F488" s="21"/>
      <c r="G488" s="17"/>
      <c r="H488" s="17"/>
      <c r="I488" s="17"/>
    </row>
    <row r="489" customFormat="false" ht="15" hidden="false" customHeight="false" outlineLevel="0" collapsed="false">
      <c r="A489" s="17"/>
      <c r="B489" s="20"/>
      <c r="C489" s="17"/>
      <c r="D489" s="17"/>
      <c r="E489" s="17"/>
      <c r="F489" s="21"/>
      <c r="G489" s="17"/>
      <c r="H489" s="17"/>
      <c r="I489" s="17"/>
    </row>
    <row r="490" customFormat="false" ht="15" hidden="false" customHeight="false" outlineLevel="0" collapsed="false">
      <c r="A490" s="17"/>
      <c r="B490" s="20"/>
      <c r="C490" s="17"/>
      <c r="D490" s="17"/>
      <c r="E490" s="17"/>
      <c r="F490" s="21"/>
      <c r="G490" s="17"/>
      <c r="H490" s="17"/>
      <c r="I490" s="17"/>
    </row>
    <row r="491" customFormat="false" ht="15" hidden="false" customHeight="false" outlineLevel="0" collapsed="false">
      <c r="A491" s="17"/>
      <c r="B491" s="20"/>
      <c r="C491" s="17"/>
      <c r="D491" s="17"/>
      <c r="E491" s="17"/>
      <c r="F491" s="21"/>
      <c r="G491" s="17"/>
      <c r="H491" s="17"/>
      <c r="I491" s="17"/>
    </row>
    <row r="492" customFormat="false" ht="15" hidden="false" customHeight="false" outlineLevel="0" collapsed="false">
      <c r="A492" s="17"/>
      <c r="B492" s="20"/>
      <c r="C492" s="17"/>
      <c r="D492" s="17"/>
      <c r="E492" s="17"/>
      <c r="F492" s="21"/>
      <c r="G492" s="17"/>
      <c r="H492" s="17"/>
      <c r="I492" s="17"/>
    </row>
    <row r="493" customFormat="false" ht="15" hidden="false" customHeight="false" outlineLevel="0" collapsed="false">
      <c r="A493" s="17"/>
      <c r="B493" s="20"/>
      <c r="C493" s="17"/>
      <c r="D493" s="17"/>
      <c r="E493" s="17"/>
      <c r="F493" s="21"/>
      <c r="G493" s="17"/>
      <c r="H493" s="17"/>
      <c r="I493" s="17"/>
    </row>
    <row r="494" customFormat="false" ht="15" hidden="false" customHeight="false" outlineLevel="0" collapsed="false">
      <c r="A494" s="17"/>
      <c r="B494" s="20"/>
      <c r="C494" s="17"/>
      <c r="D494" s="17"/>
      <c r="E494" s="17"/>
      <c r="F494" s="21"/>
      <c r="G494" s="17"/>
      <c r="H494" s="17"/>
      <c r="I494" s="17"/>
    </row>
    <row r="495" customFormat="false" ht="15" hidden="false" customHeight="false" outlineLevel="0" collapsed="false">
      <c r="A495" s="17"/>
      <c r="B495" s="20"/>
      <c r="C495" s="17"/>
      <c r="D495" s="17"/>
      <c r="E495" s="17"/>
      <c r="F495" s="21"/>
      <c r="G495" s="17"/>
      <c r="H495" s="17"/>
      <c r="I495" s="17"/>
    </row>
    <row r="496" customFormat="false" ht="15" hidden="false" customHeight="false" outlineLevel="0" collapsed="false">
      <c r="A496" s="17"/>
      <c r="B496" s="20"/>
      <c r="C496" s="17"/>
      <c r="D496" s="17"/>
      <c r="E496" s="17"/>
      <c r="F496" s="21"/>
      <c r="G496" s="17"/>
      <c r="H496" s="17"/>
      <c r="I496" s="17"/>
    </row>
    <row r="497" customFormat="false" ht="15" hidden="false" customHeight="false" outlineLevel="0" collapsed="false">
      <c r="A497" s="17"/>
      <c r="B497" s="20"/>
      <c r="C497" s="17"/>
      <c r="D497" s="17"/>
      <c r="E497" s="17"/>
      <c r="F497" s="21"/>
      <c r="G497" s="17"/>
      <c r="H497" s="17"/>
      <c r="I497" s="17"/>
    </row>
    <row r="498" customFormat="false" ht="15" hidden="false" customHeight="false" outlineLevel="0" collapsed="false">
      <c r="A498" s="17"/>
      <c r="B498" s="20"/>
      <c r="C498" s="17"/>
      <c r="D498" s="17"/>
      <c r="E498" s="17"/>
      <c r="F498" s="21"/>
      <c r="G498" s="17"/>
      <c r="H498" s="17"/>
      <c r="I498" s="17"/>
    </row>
    <row r="499" customFormat="false" ht="15" hidden="false" customHeight="false" outlineLevel="0" collapsed="false">
      <c r="A499" s="17"/>
      <c r="B499" s="20"/>
      <c r="C499" s="17"/>
      <c r="D499" s="17"/>
      <c r="E499" s="17"/>
      <c r="F499" s="21"/>
      <c r="G499" s="17"/>
      <c r="H499" s="17"/>
      <c r="I499" s="17"/>
    </row>
    <row r="500" customFormat="false" ht="15" hidden="false" customHeight="false" outlineLevel="0" collapsed="false">
      <c r="A500" s="17"/>
      <c r="B500" s="20"/>
      <c r="C500" s="17"/>
      <c r="D500" s="17"/>
      <c r="E500" s="17"/>
      <c r="F500" s="21"/>
      <c r="G500" s="17"/>
      <c r="H500" s="17"/>
      <c r="I500" s="17"/>
    </row>
    <row r="501" customFormat="false" ht="15" hidden="false" customHeight="false" outlineLevel="0" collapsed="false">
      <c r="A501" s="17"/>
      <c r="B501" s="20"/>
      <c r="C501" s="17"/>
      <c r="D501" s="17"/>
      <c r="E501" s="17"/>
      <c r="F501" s="21"/>
      <c r="G501" s="17"/>
      <c r="H501" s="17"/>
      <c r="I50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22" t="s">
        <v>316</v>
      </c>
      <c r="B1" s="22" t="s">
        <v>317</v>
      </c>
      <c r="C1" s="22" t="s">
        <v>318</v>
      </c>
    </row>
    <row r="2" customFormat="false" ht="15" hidden="false" customHeight="false" outlineLevel="0" collapsed="false">
      <c r="A2" s="18" t="s">
        <v>319</v>
      </c>
      <c r="B2" s="11" t="s">
        <v>320</v>
      </c>
      <c r="C2" s="23" t="s">
        <v>321</v>
      </c>
    </row>
    <row r="3" customFormat="false" ht="15" hidden="false" customHeight="false" outlineLevel="0" collapsed="false">
      <c r="A3" s="18" t="s">
        <v>322</v>
      </c>
      <c r="B3" s="11" t="s">
        <v>323</v>
      </c>
      <c r="C3" s="23" t="s">
        <v>324</v>
      </c>
    </row>
    <row r="4" customFormat="false" ht="15" hidden="false" customHeight="false" outlineLevel="0" collapsed="false">
      <c r="A4" s="18" t="s">
        <v>325</v>
      </c>
      <c r="B4" s="11" t="s">
        <v>326</v>
      </c>
      <c r="C4" s="23" t="s">
        <v>327</v>
      </c>
    </row>
    <row r="5" customFormat="false" ht="15" hidden="false" customHeight="false" outlineLevel="0" collapsed="false">
      <c r="A5" s="18" t="s">
        <v>328</v>
      </c>
      <c r="B5" s="14" t="n">
        <v>0.16</v>
      </c>
      <c r="C5" s="23" t="s">
        <v>329</v>
      </c>
    </row>
    <row r="6" customFormat="false" ht="15" hidden="false" customHeight="false" outlineLevel="0" collapsed="false">
      <c r="A6" s="18" t="s">
        <v>330</v>
      </c>
      <c r="B6" s="12" t="n">
        <v>46023</v>
      </c>
      <c r="C6" s="23" t="s">
        <v>331</v>
      </c>
    </row>
    <row r="7" customFormat="false" ht="15" hidden="false" customHeight="false" outlineLevel="0" collapsed="false">
      <c r="A7" s="18" t="s">
        <v>332</v>
      </c>
      <c r="B7" s="12" t="n">
        <v>46387</v>
      </c>
      <c r="C7" s="23" t="s">
        <v>333</v>
      </c>
    </row>
    <row r="8" customFormat="false" ht="15" hidden="false" customHeight="false" outlineLevel="0" collapsed="false">
      <c r="A8" s="18" t="s">
        <v>334</v>
      </c>
      <c r="B8" s="11" t="s">
        <v>36</v>
      </c>
      <c r="C8" s="23" t="s">
        <v>335</v>
      </c>
    </row>
    <row r="9" customFormat="false" ht="15" hidden="false" customHeight="false" outlineLevel="0" collapsed="false">
      <c r="A9" s="18" t="s">
        <v>336</v>
      </c>
      <c r="B9" s="11" t="n">
        <v>90</v>
      </c>
      <c r="C9" s="23" t="s">
        <v>337</v>
      </c>
    </row>
    <row r="10" customFormat="false" ht="15" hidden="false" customHeight="false" outlineLevel="0" collapsed="false">
      <c r="A10" s="18" t="s">
        <v>338</v>
      </c>
      <c r="B10" s="14" t="n">
        <v>0.25</v>
      </c>
      <c r="C10" s="23" t="s">
        <v>339</v>
      </c>
    </row>
    <row r="11" customFormat="false" ht="15" hidden="false" customHeight="false" outlineLevel="0" collapsed="false">
      <c r="A11" s="18" t="s">
        <v>340</v>
      </c>
      <c r="B11" s="14" t="n">
        <v>0.5</v>
      </c>
      <c r="C11" s="23" t="s">
        <v>341</v>
      </c>
    </row>
    <row r="12" customFormat="false" ht="15" hidden="false" customHeight="false" outlineLevel="0" collapsed="false">
      <c r="A12" s="18" t="s">
        <v>342</v>
      </c>
      <c r="B12" s="11" t="n">
        <v>18.4</v>
      </c>
      <c r="C12" s="23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2026-09-11T04:35:08Z</dcterms:created>
  <dc:creator>openpyxl</dc:creator>
  <dc:description/>
  <dc:language>en-US</dc:language>
  <cp:lastModifiedBy/>
  <dcterms:modified xsi:type="dcterms:W3CDTF">2026-09-11T04:35:08Z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